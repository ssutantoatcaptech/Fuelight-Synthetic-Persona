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 Ledger" sheetId="1" state="visible" r:id="rId3"/>
    <sheet name="Fill-in Ledger" sheetId="2" state="visible" r:id="rId4"/>
    <sheet name="Scorecard" sheetId="3" state="visible" r:id="rId5"/>
    <sheet name="Round Log" sheetId="4" state="visible" r:id="rId6"/>
    <sheet name="How to 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<sst xmlns="http://schemas.openxmlformats.org/spreadsheetml/2006/main" count="473" uniqueCount="182">
  <si>
    <t xml:space="preserve">PREDICT  —  fill in before the test</t>
  </si>
  <si>
    <t xml:space="preserve">COMPARE  —  filled in after the test   (example data)</t>
  </si>
  <si>
    <t xml:space="preserve">ID</t>
  </si>
  <si>
    <t xml:space="preserve">Persona</t>
  </si>
  <si>
    <t xml:space="preserve">Predicted behavior</t>
  </si>
  <si>
    <t xml:space="preserve">Confidence</t>
  </si>
  <si>
    <t xml:space="preserve">Feature / Screen</t>
  </si>
  <si>
    <t xml:space="preserve">Actual behavior</t>
  </si>
  <si>
    <t xml:space="preserve">Delta</t>
  </si>
  <si>
    <t xml:space="preserve">Persona update needed</t>
  </si>
  <si>
    <t xml:space="preserve">Status</t>
  </si>
  <si>
    <t xml:space="preserve">P-01</t>
  </si>
  <si>
    <t xml:space="preserve">Daniel</t>
  </si>
  <si>
    <t xml:space="preserve">Can’t restate the scenario in one line from the panel — asks an analyst for the “what this says” before MBR/IC.</t>
  </si>
  <si>
    <t xml:space="preserve">High</t>
  </si>
  <si>
    <t xml:space="preserve">Side Panel (CXP)</t>
  </si>
  <si>
    <t xml:space="preserve">All 3 exec reviewers asked an analyst to summarize before MBR; none self-served the story from the panel.</t>
  </si>
  <si>
    <t xml:space="preserve">Correct</t>
  </si>
  <si>
    <t xml:space="preserve">Confirmed — build the scenario-narrative headline.</t>
  </si>
  <si>
    <t xml:space="preserve">Validated</t>
  </si>
  <si>
    <t xml:space="preserve">P-02</t>
  </si>
  <si>
    <t xml:space="preserve">Reads the rule pills (“+10% Consumer Paid Jul–Oct”) but can’t translate them into a business narrative unaided.</t>
  </si>
  <si>
    <t xml:space="preserve">Understood each pill, but 2 of 3 still asked “so what’s the net move?”</t>
  </si>
  <si>
    <t xml:space="preserve">Wrong axis</t>
  </si>
  <si>
    <t xml:space="preserve">Right area, wrong reason — the miss is aggregation, not pill wording. Add an aggregate summary.</t>
  </si>
  <si>
    <t xml:space="preserve">Updated</t>
  </si>
  <si>
    <t xml:space="preserve">P-03</t>
  </si>
  <si>
    <t xml:space="preserve">Asks “how does this compare to ABP?” and can’t answer it from the screen.</t>
  </si>
  <si>
    <t xml:space="preserve">Every reviewer asked for ABP variance within 30 seconds — unanimous.</t>
  </si>
  <si>
    <t xml:space="preserve">Confirmed — ABP delta is table-stakes.</t>
  </si>
  <si>
    <t xml:space="preserve">P-04</t>
  </si>
  <si>
    <t xml:space="preserve">Rebuilds the scenario in slides/Excel before IC because Save produces no shareable artifact.</t>
  </si>
  <si>
    <t xml:space="preserve">Medium</t>
  </si>
  <si>
    <t xml:space="preserve">1 of 3 rebuilt in slides; the other 2 said a clean PDF export would be enough.</t>
  </si>
  <si>
    <t xml:space="preserve">Overestimated</t>
  </si>
  <si>
    <t xml:space="preserve">Soften “always rebuilds” — an export artifact satisfies most; full rebuild is the exception.</t>
  </si>
  <si>
    <t xml:space="preserve">P-05</t>
  </si>
  <si>
    <t xml:space="preserve">Camila</t>
  </si>
  <si>
    <t xml:space="preserve">Won’t sign off — can’t see why +10% (no benchmark or data source attached to the rule).</t>
  </si>
  <si>
    <t xml:space="preserve">Finance reviewer refused to approve a rule with no rationale attached — exactly as predicted.</t>
  </si>
  <si>
    <t xml:space="preserve">Confirmed — rationale field is a gating requirement.</t>
  </si>
  <si>
    <t xml:space="preserve">P-06</t>
  </si>
  <si>
    <t xml:space="preserve">Treats every adjusted cell as equally uncertain and asks for offline backup per driver.</t>
  </si>
  <si>
    <t xml:space="preserve">Wanted a confidence signal, but only for the top 3 material drivers — not every cell.</t>
  </si>
  <si>
    <t xml:space="preserve">Scope the confidence indicator to material drivers, not all cells.</t>
  </si>
  <si>
    <t xml:space="preserve">P-07</t>
  </si>
  <si>
    <t xml:space="preserve">Can’t decode the A/F/C/B corner badges without a legend and asks what they mean.</t>
  </si>
  <si>
    <t xml:space="preserve">Both finance testers asked what the badges meant in the first minute.</t>
  </si>
  <si>
    <t xml:space="preserve">Confirmed — surface the legend inline.</t>
  </si>
  <si>
    <t xml:space="preserve">P-08</t>
  </si>
  <si>
    <t xml:space="preserve">Asks for “vs. ABP / vs. target,” not “vs. session baseline.”</t>
  </si>
  <si>
    <t xml:space="preserve">Confirmed — reviewer ignored “was X” entirely and asked for plan variance.</t>
  </si>
  <si>
    <t xml:space="preserve">Confirmed — reinforces P-03; one variance column serves both.</t>
  </si>
  <si>
    <t xml:space="preserve">P-09</t>
  </si>
  <si>
    <t xml:space="preserve">Looks for the creation:activation metric, doesn’t find it, and falls back to her own model.</t>
  </si>
  <si>
    <t xml:space="preserve">Reviewer never looked for it here — said that metric lives in a separate report.</t>
  </si>
  <si>
    <t xml:space="preserve">Remove the creation:activation expectation from this surface — it’s a different report.</t>
  </si>
  <si>
    <t xml:space="preserve">P-10</t>
  </si>
  <si>
    <t xml:space="preserve">Marco</t>
  </si>
  <si>
    <t xml:space="preserve">Finds the 5-step wizard too slow for a simple +2% — wants a ~3-click path.</t>
  </si>
  <si>
    <t xml:space="preserve">Side Panel (Market)</t>
  </si>
  <si>
    <t xml:space="preserve">4 of 5 finished the wizard, but all 5 asked for a faster repeat path; 1 abandoned mid-flow.</t>
  </si>
  <si>
    <t xml:space="preserve">Soften “abandons wizard” — completion is fine; the real need is speed on repeat.</t>
  </si>
  <si>
    <t xml:space="preserve">P-11</t>
  </si>
  <si>
    <t xml:space="preserve">Is disoriented when the panel auto-closes and hunts to see the impact in context.</t>
  </si>
  <si>
    <t xml:space="preserve">3 of 5 re-opened the panel to confirm the change landed — visible friction.</t>
  </si>
  <si>
    <t xml:space="preserve">Confirmed — show an impact summary before close.</t>
  </si>
  <si>
    <t xml:space="preserve">P-12</t>
  </si>
  <si>
    <t xml:space="preserve">Tries to use it on his phone while in market and can’t (desktop-only).</t>
  </si>
  <si>
    <t xml:space="preserve">Only 1 of 5 attempted mobile in-session; most said they’d try later.</t>
  </si>
  <si>
    <t xml:space="preserve">Mobile need is real but lower-frequency than “High” implied — keep the need, lower the weight.</t>
  </si>
  <si>
    <t xml:space="preserve">P-13</t>
  </si>
  <si>
    <t xml:space="preserve">Re-configures the same rule from scratch across 3 brands and is frustrated by the repetition.</t>
  </si>
  <si>
    <t xml:space="preserve">All 5 repeated a rule across brands; 4 asked “can I just reuse the last one?”</t>
  </si>
  <si>
    <t xml:space="preserve">Confirmed — quick-apply templates are the top speed win.</t>
  </si>
  <si>
    <t xml:space="preserve">P-14</t>
  </si>
  <si>
    <t xml:space="preserve">Struggles to separate “what I’m planning” from “what already happened” in the table.</t>
  </si>
  <si>
    <t xml:space="preserve">Users navigated the table fine; nobody raised the historical/forward split.</t>
  </si>
  <si>
    <t xml:space="preserve">Drop the “confuses past vs. future” trait — not observed.</t>
  </si>
  <si>
    <t xml:space="preserve">P-15</t>
  </si>
  <si>
    <t xml:space="preserve">Sarah</t>
  </si>
  <si>
    <t xml:space="preserve">Distrusts the flat +10% because it ignores adstock and diminishing returns.</t>
  </si>
  <si>
    <t xml:space="preserve">Media tester immediately flagged that +10% ignores diminishing returns — verbatim.</t>
  </si>
  <si>
    <t xml:space="preserve">Confirmed — curve-aware mode needed for media drivers.</t>
  </si>
  <si>
    <t xml:space="preserve">P-16</t>
  </si>
  <si>
    <t xml:space="preserve">Looks for a link to Curves and won’t trust linear math without it.</t>
  </si>
  <si>
    <t xml:space="preserve">Wanted the response curve but didn’t expect it inside this panel — fine with a link out.</t>
  </si>
  <si>
    <t xml:space="preserve">Right need, wrong form — it’s curve transparency, not in-panel integration. A link suffices.</t>
  </si>
  <si>
    <t xml:space="preserve">P-17</t>
  </si>
  <si>
    <t xml:space="preserve">Wants Scenario A vs. B side-by-side and is blocked working one at a time.</t>
  </si>
  <si>
    <t xml:space="preserve">Confirmed — tester saved two versions externally just to compare them.</t>
  </si>
  <si>
    <t xml:space="preserve">Confirmed — scenario comparison is core for analysts.</t>
  </si>
  <si>
    <t xml:space="preserve">P-18</t>
  </si>
  <si>
    <t xml:space="preserve">Won’t use “Copy from Reference” without knowing active channels / seasonality.</t>
  </si>
  <si>
    <t xml:space="preserve">Used Copy from Reference readily once the reference period was labeled.</t>
  </si>
  <si>
    <t xml:space="preserve">Overcalled her resistance — the blocker is missing labels, not distrust. Add reference-context labels.</t>
  </si>
  <si>
    <t xml:space="preserve">P-19</t>
  </si>
  <si>
    <t xml:space="preserve">Asks how each driver is modeled (adstock, lag, decay) and finds nothing.</t>
  </si>
  <si>
    <t xml:space="preserve">Asked about adstock/lag on 2 drivers; wanted methodology on demand.</t>
  </si>
  <si>
    <t xml:space="preserve">Confirmed — add a driver methodology card.</t>
  </si>
  <si>
    <t xml:space="preserve">P-20</t>
  </si>
  <si>
    <t xml:space="preserve">Elena</t>
  </si>
  <si>
    <t xml:space="preserve">Finds the Jul–Oct horizon too short for annual / multi-year planning.</t>
  </si>
  <si>
    <t xml:space="preserve">Said the 4-month window made the tool unusable for annual planning — strong reaction.</t>
  </si>
  <si>
    <t xml:space="preserve">Confirmed — multi-year horizon required for strategy use.</t>
  </si>
  <si>
    <t xml:space="preserve">P-21</t>
  </si>
  <si>
    <t xml:space="preserve">Wants “shift from Brand A to Brand B” as one move and can’t do it.</t>
  </si>
  <si>
    <t xml:space="preserve">Attempted a portfolio shift as two separate edits and found it clumsy — matched.</t>
  </si>
  <si>
    <t xml:space="preserve">Confirmed — portfolio rebalancing as a first-class action.</t>
  </si>
  <si>
    <t xml:space="preserve">P-22</t>
  </si>
  <si>
    <t xml:space="preserve">Asks what a Q3 +10% means for 2027 brand health and gets nothing.</t>
  </si>
  <si>
    <t xml:space="preserve">Long-term impact wasn’t raised in-session; tester stayed within the plan year.</t>
  </si>
  <si>
    <t xml:space="preserve">Downgrade the long-horizon brand-health expectation for the tactical flow.</t>
  </si>
  <si>
    <t xml:space="preserve">P-23</t>
  </si>
  <si>
    <t xml:space="preserve">Finds the L1–L4 channel hierarchy too tactical vs. her portfolio / brand-combo lens.</t>
  </si>
  <si>
    <t xml:space="preserve">Navigated the hierarchy but wanted a portfolio / brand-combo layer on top.</t>
  </si>
  <si>
    <t xml:space="preserve">Underestimated</t>
  </si>
  <si>
    <t xml:space="preserve">She needs more structure than predicted — add a portfolio grouping above the channel hierarchy.</t>
  </si>
  <si>
    <t xml:space="preserve">P-24</t>
  </si>
  <si>
    <t xml:space="preserve">Expects scenarios to persist and share across planning cycles — loses them on refresh.</t>
  </si>
  <si>
    <t xml:space="preserve">Lost a scenario on refresh and was visibly frustrated — exactly as predicted.</t>
  </si>
  <si>
    <t xml:space="preserve">Confirmed — named, shareable, persistent scenarios.</t>
  </si>
  <si>
    <t xml:space="preserve">P-25</t>
  </si>
  <si>
    <t xml:space="preserve">(none — unpredicted)</t>
  </si>
  <si>
    <t xml:space="preserve">Ops users tried to undo a bulk edit and expected an edit history / rollback — no persona anticipated this.</t>
  </si>
  <si>
    <t xml:space="preserve">Surprising</t>
  </si>
  <si>
    <t xml:space="preserve">Add “expects undo / rollback” to Marco (likely all operators).</t>
  </si>
  <si>
    <t xml:space="preserve">P-26</t>
  </si>
  <si>
    <t xml:space="preserve">Finance reviewer asked who else had edited the scenario (multi-user attribution) — unforeseen.</t>
  </si>
  <si>
    <t xml:space="preserve">Add “wants edit attribution — who changed what” to Camila.</t>
  </si>
  <si>
    <t xml:space="preserve">P-27</t>
  </si>
  <si>
    <t xml:space="preserve">Analyst wanted to export the adjusted table to Excel to run her own checks — not predicted.</t>
  </si>
  <si>
    <t xml:space="preserve">Add “wants data export for offline analysis” to Sarah.</t>
  </si>
  <si>
    <t xml:space="preserve">COMPARE  —  your turn: fill in after the test</t>
  </si>
  <si>
    <t xml:space="preserve">Open</t>
  </si>
  <si>
    <t xml:space="preserve">Scorecard — how calibrated is each persona?</t>
  </si>
  <si>
    <t xml:space="preserve">Auto-updates from the ledger’s Delta column. Rising accuracy across rounds = personas improving.</t>
  </si>
  <si>
    <t xml:space="preserve">Logged</t>
  </si>
  <si>
    <t xml:space="preserve">Accuracy</t>
  </si>
  <si>
    <t xml:space="preserve">Top delta to fix</t>
  </si>
  <si>
    <t xml:space="preserve">All personas</t>
  </si>
  <si>
    <t xml:space="preserve">Round Log — proof the personas are improving</t>
  </si>
  <si>
    <t xml:space="preserve">One row per test round. R1 pulls from the Scorecard automatically; add a row each round and watch Accuracy climb.  (Example rounds shown.)</t>
  </si>
  <si>
    <t xml:space="preserve">Round</t>
  </si>
  <si>
    <t xml:space="preserve">Date</t>
  </si>
  <si>
    <t xml:space="preserve">Predictions tested</t>
  </si>
  <si>
    <t xml:space="preserve">Surprising (new)</t>
  </si>
  <si>
    <t xml:space="preserve">Personas updated</t>
  </si>
  <si>
    <t xml:space="preserve">Key change made</t>
  </si>
  <si>
    <t xml:space="preserve">R1 (baseline)</t>
  </si>
  <si>
    <t xml:space="preserve">16 Jul 2026</t>
  </si>
  <si>
    <t xml:space="preserve">— (baseline)</t>
  </si>
  <si>
    <t xml:space="preserve">Logged the synthetic predictions from the persona assessment; no edits yet.</t>
  </si>
  <si>
    <t xml:space="preserve">R2 (post-fixes)</t>
  </si>
  <si>
    <t xml:space="preserve">30 Jul 2026</t>
  </si>
  <si>
    <t xml:space="preserve">Daniel v2, Camila v2, Marco v2</t>
  </si>
  <si>
    <t xml:space="preserve">Added scenario-narrative headline, rule-rationale field, and ABP variance column.</t>
  </si>
  <si>
    <t xml:space="preserve">R3 (post-fixes)</t>
  </si>
  <si>
    <t xml:space="preserve">13 Aug 2026</t>
  </si>
  <si>
    <t xml:space="preserve">Sarah v2, Elena v2</t>
  </si>
  <si>
    <t xml:space="preserve">Added driver methodology card, scenario persistence, and portfolio grouping.</t>
  </si>
  <si>
    <t xml:space="preserve">Persona Prediction Ledger — worked example</t>
  </si>
  <si>
    <t xml:space="preserve">This is a filled-in EXAMPLE. The green “Compare” columns and Rounds R2–R3 are hypothetical — replace them with your own findings. Everything else is a live template.</t>
  </si>
  <si>
    <t xml:space="preserve">The loop</t>
  </si>
  <si>
    <t xml:space="preserve">1 · Predict</t>
  </si>
  <si>
    <t xml:space="preserve">Before a test, log one row per prediction — persona, a specific and falsifiable predicted behavior, and your confidence (High / Medium / Low).</t>
  </si>
  <si>
    <t xml:space="preserve">2 · Compare</t>
  </si>
  <si>
    <t xml:space="preserve">After the test, fill Actual behavior, pick the Delta, and note the Persona update needed.</t>
  </si>
  <si>
    <t xml:space="preserve">3 · Version</t>
  </si>
  <si>
    <t xml:space="preserve">End of each round: apply the updates, bump the persona version, and add a Round Log row. Accuracy climbs 54% → 75% → 89% in this example.</t>
  </si>
  <si>
    <t xml:space="preserve">Delta types — plain-English labels for how a prediction turned out</t>
  </si>
  <si>
    <t xml:space="preserve">Real users behaved as predicted. No change needed.</t>
  </si>
  <si>
    <t xml:space="preserve">Users did more, cared more, or were more capable than predicted.  →  Add or strengthen the trait.</t>
  </si>
  <si>
    <t xml:space="preserve">Users did less, cared less, or were less demanding than predicted.  →  Soften or lower the trait.</t>
  </si>
  <si>
    <t xml:space="preserve">Right behavior, wrong reason or dimension.  →  Fix the “why” behind it.</t>
  </si>
  <si>
    <t xml:space="preserve">Users did something no persona predicted.  →  Add a net-new trait.</t>
  </si>
  <si>
    <t xml:space="preserve">Scoring</t>
  </si>
  <si>
    <t xml:space="preserve">Correct ÷ (all predictions except Surprising). Surprising sits outside — those are discoveries, not misses.</t>
  </si>
  <si>
    <t xml:space="preserve">Logged so you can catch over-confidence: a persona that’s often High-confidence but wrong needs recalibrating, not just editing.</t>
  </si>
  <si>
    <t xml:space="preserve">What this example shows</t>
  </si>
  <si>
    <t xml:space="preserve">One clear pattern</t>
  </si>
  <si>
    <t xml:space="preserve">Every persona’s top delta is “Overestimated” — the personas over-dramatize user friction and strictness. The fix across the board is to soften those traits, not add new ones.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</si>
</sst>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9C6500"/>
      <name val="Arial"/>
      <family val="0"/>
      <charset val="1"/>
    </font>
    <font>
      <sz val="10"/>
      <color rgb="FF9C65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FA3"/>
        <bgColor rgb="FF1F6E6E"/>
      </patternFill>
    </fill>
    <fill>
      <patternFill patternType="solid">
        <fgColor rgb="FF2C7A6B"/>
        <bgColor rgb="FF1F6E6E"/>
      </patternFill>
    </fill>
    <fill>
      <patternFill patternType="solid">
        <fgColor rgb="FF1F3864"/>
        <bgColor rgb="FF222222"/>
      </patternFill>
    </fill>
    <fill>
      <patternFill patternType="solid">
        <fgColor rgb="FFF4F7FC"/>
        <bgColor rgb="FFFFFFFF"/>
      </patternFill>
    </fill>
    <fill>
      <patternFill patternType="solid">
        <fgColor rgb="FFFFF3E0"/>
        <bgColor rgb="FFF4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B45309"/>
        <sz val="10"/>
      </font>
      <fill>
        <patternFill>
          <bgColor rgb="FFFCE1C8"/>
        </patternFill>
      </fill>
    </dxf>
    <dxf>
      <font>
        <name val="Arial"/>
        <charset val="1"/>
        <family val="0"/>
        <b val="1"/>
        <color rgb="FF5B3F8C"/>
        <sz val="10"/>
      </font>
      <fill>
        <patternFill>
          <bgColor rgb="FFE7DDF6"/>
        </patternFill>
      </fill>
    </dxf>
    <dxf>
      <font>
        <name val="Arial"/>
        <charset val="1"/>
        <family val="0"/>
        <b val="1"/>
        <color rgb="FFB03A2E"/>
        <sz val="10"/>
      </font>
      <fill>
        <patternFill>
          <bgColor rgb="FFFAD5CF"/>
        </patternFill>
      </fill>
    </dxf>
    <dxf>
      <font>
        <name val="Arial"/>
        <charset val="1"/>
        <family val="0"/>
        <b val="1"/>
        <color rgb="FF1F6E6E"/>
        <sz val="10"/>
      </font>
      <fill>
        <patternFill>
          <bgColor rgb="FFCDE9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1F6E6E"/>
      <rgbColor rgb="FFE7DDF6"/>
      <rgbColor rgb="FF808080"/>
      <rgbColor rgb="FF9999FF"/>
      <rgbColor rgb="FFB45309"/>
      <rgbColor rgb="FFFFF3E0"/>
      <rgbColor rgb="FFCDE9E6"/>
      <rgbColor rgb="FF660066"/>
      <rgbColor rgb="FFFF8080"/>
      <rgbColor rgb="FF2E5FA3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C"/>
      <rgbColor rgb="FFC6EFCE"/>
      <rgbColor rgb="FFFCE1C8"/>
      <rgbColor rgb="FF99CCFF"/>
      <rgbColor rgb="FFFF99CC"/>
      <rgbColor rgb="FFCC99FF"/>
      <rgbColor rgb="FFFAD5CF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C7A6B"/>
      <rgbColor rgb="FF003300"/>
      <rgbColor rgb="FF333300"/>
      <rgbColor rgb="FFB03A2E"/>
      <rgbColor rgb="FF993366"/>
      <rgbColor rgb="FF5B3F8C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44"/>
    <col collapsed="false" customWidth="true" hidden="false" outlineLevel="0" max="7" min="7" style="0" width="14"/>
    <col collapsed="false" customWidth="true" hidden="false" outlineLevel="0" max="8" min="8" style="0" width="44"/>
    <col collapsed="false" customWidth="true" hidden="false" outlineLevel="0" max="9" min="9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customFormat="false" ht="33.7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customFormat="false" ht="35.05" hidden="false" customHeight="false" outlineLevel="0" collapsed="false">
      <c r="A3" s="4" t="s">
        <v>11</v>
      </c>
      <c r="B3" s="5" t="s">
        <v>12</v>
      </c>
      <c r="C3" s="6" t="s">
        <v>13</v>
      </c>
      <c r="D3" s="7" t="s">
        <v>14</v>
      </c>
      <c r="E3" s="8" t="s">
        <v>15</v>
      </c>
      <c r="F3" s="6" t="s">
        <v>16</v>
      </c>
      <c r="G3" s="7" t="s">
        <v>17</v>
      </c>
      <c r="H3" s="6" t="s">
        <v>18</v>
      </c>
      <c r="I3" s="9" t="s">
        <v>19</v>
      </c>
    </row>
    <row r="4" customFormat="false" ht="35.05" hidden="false" customHeight="false" outlineLevel="0" collapsed="false">
      <c r="A4" s="10" t="s">
        <v>20</v>
      </c>
      <c r="B4" s="11" t="s">
        <v>12</v>
      </c>
      <c r="C4" s="12" t="s">
        <v>21</v>
      </c>
      <c r="D4" s="13" t="s">
        <v>14</v>
      </c>
      <c r="E4" s="14" t="s">
        <v>15</v>
      </c>
      <c r="F4" s="12" t="s">
        <v>22</v>
      </c>
      <c r="G4" s="13" t="s">
        <v>23</v>
      </c>
      <c r="H4" s="12" t="s">
        <v>24</v>
      </c>
      <c r="I4" s="15" t="s">
        <v>25</v>
      </c>
    </row>
    <row r="5" customFormat="false" ht="23.85" hidden="false" customHeight="false" outlineLevel="0" collapsed="false">
      <c r="A5" s="4" t="s">
        <v>26</v>
      </c>
      <c r="B5" s="5" t="s">
        <v>12</v>
      </c>
      <c r="C5" s="6" t="s">
        <v>27</v>
      </c>
      <c r="D5" s="7" t="s">
        <v>14</v>
      </c>
      <c r="E5" s="8" t="s">
        <v>15</v>
      </c>
      <c r="F5" s="6" t="s">
        <v>28</v>
      </c>
      <c r="G5" s="7" t="s">
        <v>17</v>
      </c>
      <c r="H5" s="6" t="s">
        <v>29</v>
      </c>
      <c r="I5" s="9" t="s">
        <v>19</v>
      </c>
    </row>
    <row r="6" customFormat="false" ht="23.85" hidden="false" customHeight="false" outlineLevel="0" collapsed="false">
      <c r="A6" s="10" t="s">
        <v>30</v>
      </c>
      <c r="B6" s="11" t="s">
        <v>12</v>
      </c>
      <c r="C6" s="12" t="s">
        <v>31</v>
      </c>
      <c r="D6" s="13" t="s">
        <v>32</v>
      </c>
      <c r="E6" s="14" t="s">
        <v>15</v>
      </c>
      <c r="F6" s="12" t="s">
        <v>33</v>
      </c>
      <c r="G6" s="13" t="s">
        <v>34</v>
      </c>
      <c r="H6" s="12" t="s">
        <v>35</v>
      </c>
      <c r="I6" s="15" t="s">
        <v>25</v>
      </c>
    </row>
    <row r="7" customFormat="false" ht="23.85" hidden="false" customHeight="false" outlineLevel="0" collapsed="false">
      <c r="A7" s="4" t="s">
        <v>36</v>
      </c>
      <c r="B7" s="5" t="s">
        <v>37</v>
      </c>
      <c r="C7" s="6" t="s">
        <v>38</v>
      </c>
      <c r="D7" s="7" t="s">
        <v>14</v>
      </c>
      <c r="E7" s="8" t="s">
        <v>15</v>
      </c>
      <c r="F7" s="6" t="s">
        <v>39</v>
      </c>
      <c r="G7" s="7" t="s">
        <v>17</v>
      </c>
      <c r="H7" s="6" t="s">
        <v>40</v>
      </c>
      <c r="I7" s="9" t="s">
        <v>19</v>
      </c>
    </row>
    <row r="8" customFormat="false" ht="23.85" hidden="false" customHeight="false" outlineLevel="0" collapsed="false">
      <c r="A8" s="10" t="s">
        <v>41</v>
      </c>
      <c r="B8" s="11" t="s">
        <v>37</v>
      </c>
      <c r="C8" s="12" t="s">
        <v>42</v>
      </c>
      <c r="D8" s="13" t="s">
        <v>32</v>
      </c>
      <c r="E8" s="14" t="s">
        <v>15</v>
      </c>
      <c r="F8" s="12" t="s">
        <v>43</v>
      </c>
      <c r="G8" s="13" t="s">
        <v>34</v>
      </c>
      <c r="H8" s="12" t="s">
        <v>44</v>
      </c>
      <c r="I8" s="15" t="s">
        <v>25</v>
      </c>
    </row>
    <row r="9" customFormat="false" ht="23.85" hidden="false" customHeight="false" outlineLevel="0" collapsed="false">
      <c r="A9" s="4" t="s">
        <v>45</v>
      </c>
      <c r="B9" s="5" t="s">
        <v>37</v>
      </c>
      <c r="C9" s="6" t="s">
        <v>46</v>
      </c>
      <c r="D9" s="7" t="s">
        <v>14</v>
      </c>
      <c r="E9" s="8" t="s">
        <v>15</v>
      </c>
      <c r="F9" s="6" t="s">
        <v>47</v>
      </c>
      <c r="G9" s="7" t="s">
        <v>17</v>
      </c>
      <c r="H9" s="6" t="s">
        <v>48</v>
      </c>
      <c r="I9" s="9" t="s">
        <v>19</v>
      </c>
    </row>
    <row r="10" customFormat="false" ht="23.85" hidden="false" customHeight="false" outlineLevel="0" collapsed="false">
      <c r="A10" s="10" t="s">
        <v>49</v>
      </c>
      <c r="B10" s="11" t="s">
        <v>37</v>
      </c>
      <c r="C10" s="12" t="s">
        <v>50</v>
      </c>
      <c r="D10" s="13" t="s">
        <v>14</v>
      </c>
      <c r="E10" s="14" t="s">
        <v>15</v>
      </c>
      <c r="F10" s="12" t="s">
        <v>51</v>
      </c>
      <c r="G10" s="13" t="s">
        <v>17</v>
      </c>
      <c r="H10" s="12" t="s">
        <v>52</v>
      </c>
      <c r="I10" s="15" t="s">
        <v>19</v>
      </c>
    </row>
    <row r="11" customFormat="false" ht="23.85" hidden="false" customHeight="false" outlineLevel="0" collapsed="false">
      <c r="A11" s="4" t="s">
        <v>53</v>
      </c>
      <c r="B11" s="5" t="s">
        <v>37</v>
      </c>
      <c r="C11" s="6" t="s">
        <v>54</v>
      </c>
      <c r="D11" s="7" t="s">
        <v>32</v>
      </c>
      <c r="E11" s="8" t="s">
        <v>15</v>
      </c>
      <c r="F11" s="6" t="s">
        <v>55</v>
      </c>
      <c r="G11" s="7" t="s">
        <v>34</v>
      </c>
      <c r="H11" s="6" t="s">
        <v>56</v>
      </c>
      <c r="I11" s="9" t="s">
        <v>25</v>
      </c>
    </row>
    <row r="12" customFormat="false" ht="23.85" hidden="false" customHeight="false" outlineLevel="0" collapsed="false">
      <c r="A12" s="10" t="s">
        <v>57</v>
      </c>
      <c r="B12" s="11" t="s">
        <v>58</v>
      </c>
      <c r="C12" s="12" t="s">
        <v>59</v>
      </c>
      <c r="D12" s="13" t="s">
        <v>14</v>
      </c>
      <c r="E12" s="14" t="s">
        <v>60</v>
      </c>
      <c r="F12" s="12" t="s">
        <v>61</v>
      </c>
      <c r="G12" s="13" t="s">
        <v>34</v>
      </c>
      <c r="H12" s="12" t="s">
        <v>62</v>
      </c>
      <c r="I12" s="15" t="s">
        <v>25</v>
      </c>
    </row>
    <row r="13" customFormat="false" ht="23.85" hidden="false" customHeight="false" outlineLevel="0" collapsed="false">
      <c r="A13" s="4" t="s">
        <v>63</v>
      </c>
      <c r="B13" s="5" t="s">
        <v>58</v>
      </c>
      <c r="C13" s="6" t="s">
        <v>64</v>
      </c>
      <c r="D13" s="7" t="s">
        <v>32</v>
      </c>
      <c r="E13" s="8" t="s">
        <v>60</v>
      </c>
      <c r="F13" s="6" t="s">
        <v>65</v>
      </c>
      <c r="G13" s="7" t="s">
        <v>17</v>
      </c>
      <c r="H13" s="6" t="s">
        <v>66</v>
      </c>
      <c r="I13" s="9" t="s">
        <v>19</v>
      </c>
    </row>
    <row r="14" customFormat="false" ht="23.85" hidden="false" customHeight="false" outlineLevel="0" collapsed="false">
      <c r="A14" s="10" t="s">
        <v>67</v>
      </c>
      <c r="B14" s="11" t="s">
        <v>58</v>
      </c>
      <c r="C14" s="12" t="s">
        <v>68</v>
      </c>
      <c r="D14" s="13" t="s">
        <v>14</v>
      </c>
      <c r="E14" s="14" t="s">
        <v>60</v>
      </c>
      <c r="F14" s="12" t="s">
        <v>69</v>
      </c>
      <c r="G14" s="13" t="s">
        <v>34</v>
      </c>
      <c r="H14" s="12" t="s">
        <v>70</v>
      </c>
      <c r="I14" s="15" t="s">
        <v>25</v>
      </c>
    </row>
    <row r="15" customFormat="false" ht="23.85" hidden="false" customHeight="false" outlineLevel="0" collapsed="false">
      <c r="A15" s="4" t="s">
        <v>71</v>
      </c>
      <c r="B15" s="5" t="s">
        <v>58</v>
      </c>
      <c r="C15" s="6" t="s">
        <v>72</v>
      </c>
      <c r="D15" s="7" t="s">
        <v>14</v>
      </c>
      <c r="E15" s="8" t="s">
        <v>60</v>
      </c>
      <c r="F15" s="6" t="s">
        <v>73</v>
      </c>
      <c r="G15" s="7" t="s">
        <v>17</v>
      </c>
      <c r="H15" s="6" t="s">
        <v>74</v>
      </c>
      <c r="I15" s="9" t="s">
        <v>19</v>
      </c>
    </row>
    <row r="16" customFormat="false" ht="23.85" hidden="false" customHeight="false" outlineLevel="0" collapsed="false">
      <c r="A16" s="10" t="s">
        <v>75</v>
      </c>
      <c r="B16" s="11" t="s">
        <v>58</v>
      </c>
      <c r="C16" s="12" t="s">
        <v>76</v>
      </c>
      <c r="D16" s="13" t="s">
        <v>32</v>
      </c>
      <c r="E16" s="14" t="s">
        <v>60</v>
      </c>
      <c r="F16" s="12" t="s">
        <v>77</v>
      </c>
      <c r="G16" s="13" t="s">
        <v>34</v>
      </c>
      <c r="H16" s="12" t="s">
        <v>78</v>
      </c>
      <c r="I16" s="15" t="s">
        <v>25</v>
      </c>
    </row>
    <row r="17" customFormat="false" ht="23.85" hidden="false" customHeight="false" outlineLevel="0" collapsed="false">
      <c r="A17" s="4" t="s">
        <v>79</v>
      </c>
      <c r="B17" s="5" t="s">
        <v>80</v>
      </c>
      <c r="C17" s="6" t="s">
        <v>81</v>
      </c>
      <c r="D17" s="7" t="s">
        <v>14</v>
      </c>
      <c r="E17" s="8" t="s">
        <v>60</v>
      </c>
      <c r="F17" s="6" t="s">
        <v>82</v>
      </c>
      <c r="G17" s="7" t="s">
        <v>17</v>
      </c>
      <c r="H17" s="6" t="s">
        <v>83</v>
      </c>
      <c r="I17" s="9" t="s">
        <v>19</v>
      </c>
    </row>
    <row r="18" customFormat="false" ht="23.85" hidden="false" customHeight="false" outlineLevel="0" collapsed="false">
      <c r="A18" s="10" t="s">
        <v>84</v>
      </c>
      <c r="B18" s="11" t="s">
        <v>80</v>
      </c>
      <c r="C18" s="12" t="s">
        <v>85</v>
      </c>
      <c r="D18" s="13" t="s">
        <v>32</v>
      </c>
      <c r="E18" s="14" t="s">
        <v>60</v>
      </c>
      <c r="F18" s="12" t="s">
        <v>86</v>
      </c>
      <c r="G18" s="13" t="s">
        <v>23</v>
      </c>
      <c r="H18" s="12" t="s">
        <v>87</v>
      </c>
      <c r="I18" s="15" t="s">
        <v>25</v>
      </c>
    </row>
    <row r="19" customFormat="false" ht="23.85" hidden="false" customHeight="false" outlineLevel="0" collapsed="false">
      <c r="A19" s="4" t="s">
        <v>88</v>
      </c>
      <c r="B19" s="5" t="s">
        <v>80</v>
      </c>
      <c r="C19" s="6" t="s">
        <v>89</v>
      </c>
      <c r="D19" s="7" t="s">
        <v>14</v>
      </c>
      <c r="E19" s="8" t="s">
        <v>60</v>
      </c>
      <c r="F19" s="6" t="s">
        <v>90</v>
      </c>
      <c r="G19" s="7" t="s">
        <v>17</v>
      </c>
      <c r="H19" s="6" t="s">
        <v>91</v>
      </c>
      <c r="I19" s="9" t="s">
        <v>19</v>
      </c>
    </row>
    <row r="20" customFormat="false" ht="23.85" hidden="false" customHeight="false" outlineLevel="0" collapsed="false">
      <c r="A20" s="10" t="s">
        <v>92</v>
      </c>
      <c r="B20" s="11" t="s">
        <v>80</v>
      </c>
      <c r="C20" s="12" t="s">
        <v>93</v>
      </c>
      <c r="D20" s="13" t="s">
        <v>32</v>
      </c>
      <c r="E20" s="14" t="s">
        <v>60</v>
      </c>
      <c r="F20" s="12" t="s">
        <v>94</v>
      </c>
      <c r="G20" s="13" t="s">
        <v>34</v>
      </c>
      <c r="H20" s="12" t="s">
        <v>95</v>
      </c>
      <c r="I20" s="15" t="s">
        <v>25</v>
      </c>
    </row>
    <row r="21" customFormat="false" ht="23.85" hidden="false" customHeight="false" outlineLevel="0" collapsed="false">
      <c r="A21" s="4" t="s">
        <v>96</v>
      </c>
      <c r="B21" s="5" t="s">
        <v>80</v>
      </c>
      <c r="C21" s="6" t="s">
        <v>97</v>
      </c>
      <c r="D21" s="7" t="s">
        <v>32</v>
      </c>
      <c r="E21" s="8" t="s">
        <v>60</v>
      </c>
      <c r="F21" s="6" t="s">
        <v>98</v>
      </c>
      <c r="G21" s="7" t="s">
        <v>17</v>
      </c>
      <c r="H21" s="6" t="s">
        <v>99</v>
      </c>
      <c r="I21" s="9" t="s">
        <v>19</v>
      </c>
    </row>
    <row r="22" customFormat="false" ht="23.85" hidden="false" customHeight="false" outlineLevel="0" collapsed="false">
      <c r="A22" s="10" t="s">
        <v>100</v>
      </c>
      <c r="B22" s="11" t="s">
        <v>101</v>
      </c>
      <c r="C22" s="12" t="s">
        <v>102</v>
      </c>
      <c r="D22" s="13" t="s">
        <v>14</v>
      </c>
      <c r="E22" s="14" t="s">
        <v>15</v>
      </c>
      <c r="F22" s="12" t="s">
        <v>103</v>
      </c>
      <c r="G22" s="13" t="s">
        <v>17</v>
      </c>
      <c r="H22" s="12" t="s">
        <v>104</v>
      </c>
      <c r="I22" s="15" t="s">
        <v>19</v>
      </c>
    </row>
    <row r="23" customFormat="false" ht="23.85" hidden="false" customHeight="false" outlineLevel="0" collapsed="false">
      <c r="A23" s="4" t="s">
        <v>105</v>
      </c>
      <c r="B23" s="5" t="s">
        <v>101</v>
      </c>
      <c r="C23" s="6" t="s">
        <v>106</v>
      </c>
      <c r="D23" s="7" t="s">
        <v>14</v>
      </c>
      <c r="E23" s="8" t="s">
        <v>15</v>
      </c>
      <c r="F23" s="6" t="s">
        <v>107</v>
      </c>
      <c r="G23" s="7" t="s">
        <v>17</v>
      </c>
      <c r="H23" s="6" t="s">
        <v>108</v>
      </c>
      <c r="I23" s="9" t="s">
        <v>19</v>
      </c>
    </row>
    <row r="24" customFormat="false" ht="23.85" hidden="false" customHeight="false" outlineLevel="0" collapsed="false">
      <c r="A24" s="10" t="s">
        <v>109</v>
      </c>
      <c r="B24" s="11" t="s">
        <v>101</v>
      </c>
      <c r="C24" s="12" t="s">
        <v>110</v>
      </c>
      <c r="D24" s="13" t="s">
        <v>32</v>
      </c>
      <c r="E24" s="14" t="s">
        <v>15</v>
      </c>
      <c r="F24" s="12" t="s">
        <v>111</v>
      </c>
      <c r="G24" s="13" t="s">
        <v>34</v>
      </c>
      <c r="H24" s="12" t="s">
        <v>112</v>
      </c>
      <c r="I24" s="15" t="s">
        <v>25</v>
      </c>
    </row>
    <row r="25" customFormat="false" ht="23.85" hidden="false" customHeight="false" outlineLevel="0" collapsed="false">
      <c r="A25" s="4" t="s">
        <v>113</v>
      </c>
      <c r="B25" s="5" t="s">
        <v>101</v>
      </c>
      <c r="C25" s="6" t="s">
        <v>114</v>
      </c>
      <c r="D25" s="7" t="s">
        <v>32</v>
      </c>
      <c r="E25" s="8" t="s">
        <v>15</v>
      </c>
      <c r="F25" s="6" t="s">
        <v>115</v>
      </c>
      <c r="G25" s="7" t="s">
        <v>116</v>
      </c>
      <c r="H25" s="6" t="s">
        <v>117</v>
      </c>
      <c r="I25" s="9" t="s">
        <v>25</v>
      </c>
    </row>
    <row r="26" customFormat="false" ht="23.85" hidden="false" customHeight="false" outlineLevel="0" collapsed="false">
      <c r="A26" s="10" t="s">
        <v>118</v>
      </c>
      <c r="B26" s="11" t="s">
        <v>101</v>
      </c>
      <c r="C26" s="12" t="s">
        <v>119</v>
      </c>
      <c r="D26" s="13" t="s">
        <v>14</v>
      </c>
      <c r="E26" s="14" t="s">
        <v>15</v>
      </c>
      <c r="F26" s="12" t="s">
        <v>120</v>
      </c>
      <c r="G26" s="13" t="s">
        <v>17</v>
      </c>
      <c r="H26" s="12" t="s">
        <v>121</v>
      </c>
      <c r="I26" s="15" t="s">
        <v>19</v>
      </c>
    </row>
    <row r="27" customFormat="false" ht="23.85" hidden="false" customHeight="false" outlineLevel="0" collapsed="false">
      <c r="A27" s="4" t="s">
        <v>122</v>
      </c>
      <c r="B27" s="5" t="s">
        <v>58</v>
      </c>
      <c r="C27" s="16" t="s">
        <v>123</v>
      </c>
      <c r="D27" s="7"/>
      <c r="E27" s="8" t="s">
        <v>60</v>
      </c>
      <c r="F27" s="6" t="s">
        <v>124</v>
      </c>
      <c r="G27" s="7" t="s">
        <v>125</v>
      </c>
      <c r="H27" s="6" t="s">
        <v>126</v>
      </c>
      <c r="I27" s="9" t="s">
        <v>25</v>
      </c>
    </row>
    <row r="28" customFormat="false" ht="23.85" hidden="false" customHeight="false" outlineLevel="0" collapsed="false">
      <c r="A28" s="10" t="s">
        <v>127</v>
      </c>
      <c r="B28" s="11" t="s">
        <v>37</v>
      </c>
      <c r="C28" s="17" t="s">
        <v>123</v>
      </c>
      <c r="D28" s="13"/>
      <c r="E28" s="14" t="s">
        <v>15</v>
      </c>
      <c r="F28" s="12" t="s">
        <v>128</v>
      </c>
      <c r="G28" s="13" t="s">
        <v>125</v>
      </c>
      <c r="H28" s="12" t="s">
        <v>129</v>
      </c>
      <c r="I28" s="15" t="s">
        <v>25</v>
      </c>
    </row>
    <row r="29" customFormat="false" ht="23.85" hidden="false" customHeight="false" outlineLevel="0" collapsed="false">
      <c r="A29" s="4" t="s">
        <v>130</v>
      </c>
      <c r="B29" s="5" t="s">
        <v>80</v>
      </c>
      <c r="C29" s="16" t="s">
        <v>123</v>
      </c>
      <c r="D29" s="7"/>
      <c r="E29" s="8" t="s">
        <v>60</v>
      </c>
      <c r="F29" s="6" t="s">
        <v>131</v>
      </c>
      <c r="G29" s="7" t="s">
        <v>125</v>
      </c>
      <c r="H29" s="6" t="s">
        <v>132</v>
      </c>
      <c r="I29" s="9" t="s">
        <v>25</v>
      </c>
    </row>
    <row r="30" customFormat="false" ht="15" hidden="false" customHeight="false" outlineLevel="0" collapsed="false">
      <c r="A30" s="13"/>
      <c r="B30" s="12"/>
      <c r="C30" s="12"/>
      <c r="D30" s="13"/>
      <c r="E30" s="12"/>
      <c r="F30" s="12"/>
      <c r="G30" s="13"/>
      <c r="H30" s="12"/>
      <c r="I30" s="13"/>
    </row>
    <row r="31" customFormat="false" ht="15" hidden="false" customHeight="false" outlineLevel="0" collapsed="false">
      <c r="A31" s="7"/>
      <c r="B31" s="6"/>
      <c r="C31" s="6"/>
      <c r="D31" s="7"/>
      <c r="E31" s="6"/>
      <c r="F31" s="6"/>
      <c r="G31" s="7"/>
      <c r="H31" s="6"/>
      <c r="I31" s="7"/>
    </row>
    <row r="32" customFormat="false" ht="15" hidden="false" customHeight="false" outlineLevel="0" collapsed="false">
      <c r="A32" s="13"/>
      <c r="B32" s="12"/>
      <c r="C32" s="12"/>
      <c r="D32" s="13"/>
      <c r="E32" s="12"/>
      <c r="F32" s="12"/>
      <c r="G32" s="13"/>
      <c r="H32" s="12"/>
      <c r="I32" s="13"/>
    </row>
    <row r="33" customFormat="false" ht="15" hidden="false" customHeight="false" outlineLevel="0" collapsed="false">
      <c r="A33" s="7"/>
      <c r="B33" s="6"/>
      <c r="C33" s="6"/>
      <c r="D33" s="7"/>
      <c r="E33" s="6"/>
      <c r="F33" s="6"/>
      <c r="G33" s="7"/>
      <c r="H33" s="6"/>
      <c r="I33" s="7"/>
    </row>
    <row r="34" customFormat="false" ht="15" hidden="false" customHeight="false" outlineLevel="0" collapsed="false">
      <c r="A34" s="13"/>
      <c r="B34" s="12"/>
      <c r="C34" s="12"/>
      <c r="D34" s="13"/>
      <c r="E34" s="12"/>
      <c r="F34" s="12"/>
      <c r="G34" s="13"/>
      <c r="H34" s="12"/>
      <c r="I34" s="13"/>
    </row>
    <row r="35" customFormat="false" ht="15" hidden="false" customHeight="false" outlineLevel="0" collapsed="false">
      <c r="A35" s="7"/>
      <c r="B35" s="6"/>
      <c r="C35" s="6"/>
      <c r="D35" s="7"/>
      <c r="E35" s="6"/>
      <c r="F35" s="6"/>
      <c r="G35" s="7"/>
      <c r="H35" s="6"/>
      <c r="I35" s="7"/>
    </row>
    <row r="36" customFormat="false" ht="15" hidden="false" customHeight="false" outlineLevel="0" collapsed="false">
      <c r="A36" s="13"/>
      <c r="B36" s="12"/>
      <c r="C36" s="12"/>
      <c r="D36" s="13"/>
      <c r="E36" s="12"/>
      <c r="F36" s="12"/>
      <c r="G36" s="13"/>
      <c r="H36" s="12"/>
      <c r="I36" s="13"/>
    </row>
    <row r="37" customFormat="false" ht="15" hidden="false" customHeight="false" outlineLevel="0" collapsed="false">
      <c r="A37" s="7"/>
      <c r="B37" s="6"/>
      <c r="C37" s="6"/>
      <c r="D37" s="7"/>
      <c r="E37" s="6"/>
      <c r="F37" s="6"/>
      <c r="G37" s="7"/>
      <c r="H37" s="6"/>
      <c r="I37" s="7"/>
    </row>
    <row r="38" customFormat="false" ht="15" hidden="false" customHeight="false" outlineLevel="0" collapsed="false">
      <c r="A38" s="13"/>
      <c r="B38" s="12"/>
      <c r="C38" s="12"/>
      <c r="D38" s="13"/>
      <c r="E38" s="12"/>
      <c r="F38" s="12"/>
      <c r="G38" s="13"/>
      <c r="H38" s="12"/>
      <c r="I38" s="13"/>
    </row>
    <row r="39" customFormat="false" ht="15" hidden="false" customHeight="false" outlineLevel="0" collapsed="false">
      <c r="A39" s="7"/>
      <c r="B39" s="6"/>
      <c r="C39" s="6"/>
      <c r="D39" s="7"/>
      <c r="E39" s="6"/>
      <c r="F39" s="6"/>
      <c r="G39" s="7"/>
      <c r="H39" s="6"/>
      <c r="I39" s="7"/>
    </row>
    <row r="40" customFormat="false" ht="15" hidden="false" customHeight="false" outlineLevel="0" collapsed="false">
      <c r="A40" s="13"/>
      <c r="B40" s="12"/>
      <c r="C40" s="12"/>
      <c r="D40" s="13"/>
      <c r="E40" s="12"/>
      <c r="F40" s="12"/>
      <c r="G40" s="13"/>
      <c r="H40" s="12"/>
      <c r="I40" s="13"/>
    </row>
    <row r="41" customFormat="false" ht="15" hidden="false" customHeight="false" outlineLevel="0" collapsed="false">
      <c r="A41" s="7"/>
      <c r="B41" s="6"/>
      <c r="C41" s="6"/>
      <c r="D41" s="7"/>
      <c r="E41" s="6"/>
      <c r="F41" s="6"/>
      <c r="G41" s="7"/>
      <c r="H41" s="6"/>
      <c r="I41" s="7"/>
    </row>
    <row r="42" customFormat="false" ht="15" hidden="false" customHeight="false" outlineLevel="0" collapsed="false">
      <c r="A42" s="13"/>
      <c r="B42" s="12"/>
      <c r="C42" s="12"/>
      <c r="D42" s="13"/>
      <c r="E42" s="12"/>
      <c r="F42" s="12"/>
      <c r="G42" s="13"/>
      <c r="H42" s="12"/>
      <c r="I42" s="13"/>
    </row>
    <row r="43" customFormat="false" ht="15" hidden="false" customHeight="false" outlineLevel="0" collapsed="false">
      <c r="A43" s="7"/>
      <c r="B43" s="6"/>
      <c r="C43" s="6"/>
      <c r="D43" s="7"/>
      <c r="E43" s="6"/>
      <c r="F43" s="6"/>
      <c r="G43" s="7"/>
      <c r="H43" s="6"/>
      <c r="I43" s="7"/>
    </row>
    <row r="44" customFormat="false" ht="15" hidden="false" customHeight="false" outlineLevel="0" collapsed="false">
      <c r="A44" s="13"/>
      <c r="B44" s="12"/>
      <c r="C44" s="12"/>
      <c r="D44" s="13"/>
      <c r="E44" s="12"/>
      <c r="F44" s="12"/>
      <c r="G44" s="13"/>
      <c r="H44" s="12"/>
      <c r="I44" s="13"/>
    </row>
    <row r="45" customFormat="false" ht="15" hidden="false" customHeight="false" outlineLevel="0" collapsed="false">
      <c r="A45" s="7"/>
      <c r="B45" s="6"/>
      <c r="C45" s="6"/>
      <c r="D45" s="7"/>
      <c r="E45" s="6"/>
      <c r="F45" s="6"/>
      <c r="G45" s="7"/>
      <c r="H45" s="6"/>
      <c r="I45" s="7"/>
    </row>
    <row r="46" customFormat="false" ht="15" hidden="false" customHeight="false" outlineLevel="0" collapsed="false">
      <c r="A46" s="13"/>
      <c r="B46" s="12"/>
      <c r="C46" s="12"/>
      <c r="D46" s="13"/>
      <c r="E46" s="12"/>
      <c r="F46" s="12"/>
      <c r="G46" s="13"/>
      <c r="H46" s="12"/>
      <c r="I46" s="13"/>
    </row>
    <row r="47" customFormat="false" ht="15" hidden="false" customHeight="false" outlineLevel="0" collapsed="false">
      <c r="A47" s="7"/>
      <c r="B47" s="6"/>
      <c r="C47" s="6"/>
      <c r="D47" s="7"/>
      <c r="E47" s="6"/>
      <c r="F47" s="6"/>
      <c r="G47" s="7"/>
      <c r="H47" s="6"/>
      <c r="I47" s="7"/>
    </row>
    <row r="48" customFormat="false" ht="15" hidden="false" customHeight="false" outlineLevel="0" collapsed="false">
      <c r="A48" s="13"/>
      <c r="B48" s="12"/>
      <c r="C48" s="12"/>
      <c r="D48" s="13"/>
      <c r="E48" s="12"/>
      <c r="F48" s="12"/>
      <c r="G48" s="13"/>
      <c r="H48" s="12"/>
      <c r="I48" s="13"/>
    </row>
    <row r="49" customFormat="false" ht="15" hidden="false" customHeight="false" outlineLevel="0" collapsed="false">
      <c r="A49" s="7"/>
      <c r="B49" s="6"/>
      <c r="C49" s="6"/>
      <c r="D49" s="7"/>
      <c r="E49" s="6"/>
      <c r="F49" s="6"/>
      <c r="G49" s="7"/>
      <c r="H49" s="6"/>
      <c r="I49" s="7"/>
    </row>
    <row r="50" customFormat="false" ht="15" hidden="false" customHeight="false" outlineLevel="0" collapsed="false">
      <c r="A50" s="13"/>
      <c r="B50" s="12"/>
      <c r="C50" s="12"/>
      <c r="D50" s="13"/>
      <c r="E50" s="12"/>
      <c r="F50" s="12"/>
      <c r="G50" s="13"/>
      <c r="H50" s="12"/>
      <c r="I50" s="13"/>
    </row>
    <row r="51" customFormat="false" ht="15" hidden="false" customHeight="false" outlineLevel="0" collapsed="false">
      <c r="A51" s="7"/>
      <c r="B51" s="6"/>
      <c r="C51" s="6"/>
      <c r="D51" s="7"/>
      <c r="E51" s="6"/>
      <c r="F51" s="6"/>
      <c r="G51" s="7"/>
      <c r="H51" s="6"/>
      <c r="I51" s="7"/>
    </row>
    <row r="52" customFormat="false" ht="15" hidden="false" customHeight="false" outlineLevel="0" collapsed="false">
      <c r="A52" s="13"/>
      <c r="B52" s="12"/>
      <c r="C52" s="12"/>
      <c r="D52" s="13"/>
      <c r="E52" s="12"/>
      <c r="F52" s="12"/>
      <c r="G52" s="13"/>
      <c r="H52" s="12"/>
      <c r="I52" s="13"/>
    </row>
    <row r="53" customFormat="false" ht="15" hidden="false" customHeight="false" outlineLevel="0" collapsed="false">
      <c r="A53" s="7"/>
      <c r="B53" s="6"/>
      <c r="C53" s="6"/>
      <c r="D53" s="7"/>
      <c r="E53" s="6"/>
      <c r="F53" s="6"/>
      <c r="G53" s="7"/>
      <c r="H53" s="6"/>
      <c r="I53" s="7"/>
    </row>
    <row r="54" customFormat="false" ht="15" hidden="false" customHeight="false" outlineLevel="0" collapsed="false">
      <c r="A54" s="13"/>
      <c r="B54" s="12"/>
      <c r="C54" s="12"/>
      <c r="D54" s="13"/>
      <c r="E54" s="12"/>
      <c r="F54" s="12"/>
      <c r="G54" s="13"/>
      <c r="H54" s="12"/>
      <c r="I54" s="13"/>
    </row>
    <row r="55" customFormat="false" ht="15" hidden="false" customHeight="false" outlineLevel="0" collapsed="false">
      <c r="A55" s="7"/>
      <c r="B55" s="6"/>
      <c r="C55" s="6"/>
      <c r="D55" s="7"/>
      <c r="E55" s="6"/>
      <c r="F55" s="6"/>
      <c r="G55" s="7"/>
      <c r="H55" s="6"/>
      <c r="I55" s="7"/>
    </row>
    <row r="56" customFormat="false" ht="15" hidden="false" customHeight="false" outlineLevel="0" collapsed="false">
      <c r="A56" s="13"/>
      <c r="B56" s="12"/>
      <c r="C56" s="12"/>
      <c r="D56" s="13"/>
      <c r="E56" s="12"/>
      <c r="F56" s="12"/>
      <c r="G56" s="13"/>
      <c r="H56" s="12"/>
      <c r="I56" s="13"/>
    </row>
    <row r="57" customFormat="false" ht="15" hidden="false" customHeight="false" outlineLevel="0" collapsed="false">
      <c r="A57" s="7"/>
      <c r="B57" s="6"/>
      <c r="C57" s="6"/>
      <c r="D57" s="7"/>
      <c r="E57" s="6"/>
      <c r="F57" s="6"/>
      <c r="G57" s="7"/>
      <c r="H57" s="6"/>
      <c r="I57" s="7"/>
    </row>
    <row r="58" customFormat="false" ht="15" hidden="false" customHeight="false" outlineLevel="0" collapsed="false">
      <c r="A58" s="13"/>
      <c r="B58" s="12"/>
      <c r="C58" s="12"/>
      <c r="D58" s="13"/>
      <c r="E58" s="12"/>
      <c r="F58" s="12"/>
      <c r="G58" s="13"/>
      <c r="H58" s="12"/>
      <c r="I58" s="13"/>
    </row>
    <row r="59" customFormat="false" ht="15" hidden="false" customHeight="false" outlineLevel="0" collapsed="false">
      <c r="A59" s="7"/>
      <c r="B59" s="6"/>
      <c r="C59" s="6"/>
      <c r="D59" s="7"/>
      <c r="E59" s="6"/>
      <c r="F59" s="6"/>
      <c r="G59" s="7"/>
      <c r="H59" s="6"/>
      <c r="I59" s="7"/>
    </row>
    <row r="60" customFormat="false" ht="15" hidden="false" customHeight="false" outlineLevel="0" collapsed="false">
      <c r="A60" s="13"/>
      <c r="B60" s="12"/>
      <c r="C60" s="12"/>
      <c r="D60" s="13"/>
      <c r="E60" s="12"/>
      <c r="F60" s="12"/>
      <c r="G60" s="13"/>
      <c r="H60" s="12"/>
      <c r="I60" s="13"/>
    </row>
    <row r="61" customFormat="false" ht="15" hidden="false" customHeight="false" outlineLevel="0" collapsed="false">
      <c r="A61" s="7"/>
      <c r="B61" s="6"/>
      <c r="C61" s="6"/>
      <c r="D61" s="7"/>
      <c r="E61" s="6"/>
      <c r="F61" s="6"/>
      <c r="G61" s="7"/>
      <c r="H61" s="6"/>
      <c r="I61" s="7"/>
    </row>
    <row r="62" customFormat="false" ht="15" hidden="false" customHeight="false" outlineLevel="0" collapsed="false">
      <c r="A62" s="13"/>
      <c r="B62" s="12"/>
      <c r="C62" s="12"/>
      <c r="D62" s="13"/>
      <c r="E62" s="12"/>
      <c r="F62" s="12"/>
      <c r="G62" s="13"/>
      <c r="H62" s="12"/>
      <c r="I62" s="13"/>
    </row>
    <row r="63" customFormat="false" ht="15" hidden="false" customHeight="false" outlineLevel="0" collapsed="false">
      <c r="A63" s="7"/>
      <c r="B63" s="6"/>
      <c r="C63" s="6"/>
      <c r="D63" s="7"/>
      <c r="E63" s="6"/>
      <c r="F63" s="6"/>
      <c r="G63" s="7"/>
      <c r="H63" s="6"/>
      <c r="I63" s="7"/>
    </row>
    <row r="64" customFormat="false" ht="15" hidden="false" customHeight="false" outlineLevel="0" collapsed="false">
      <c r="A64" s="13"/>
      <c r="B64" s="12"/>
      <c r="C64" s="12"/>
      <c r="D64" s="13"/>
      <c r="E64" s="12"/>
      <c r="F64" s="12"/>
      <c r="G64" s="13"/>
      <c r="H64" s="12"/>
      <c r="I64" s="13"/>
    </row>
    <row r="65" customFormat="false" ht="15" hidden="false" customHeight="false" outlineLevel="0" collapsed="false">
      <c r="A65" s="7"/>
      <c r="B65" s="6"/>
      <c r="C65" s="6"/>
      <c r="D65" s="7"/>
      <c r="E65" s="6"/>
      <c r="F65" s="6"/>
      <c r="G65" s="7"/>
      <c r="H65" s="6"/>
      <c r="I65" s="7"/>
    </row>
    <row r="66" customFormat="false" ht="15" hidden="false" customHeight="false" outlineLevel="0" collapsed="false">
      <c r="A66" s="13"/>
      <c r="B66" s="12"/>
      <c r="C66" s="12"/>
      <c r="D66" s="13"/>
      <c r="E66" s="12"/>
      <c r="F66" s="12"/>
      <c r="G66" s="13"/>
      <c r="H66" s="12"/>
      <c r="I66" s="13"/>
    </row>
    <row r="67" customFormat="false" ht="15" hidden="false" customHeight="false" outlineLevel="0" collapsed="false">
      <c r="A67" s="7"/>
      <c r="B67" s="6"/>
      <c r="C67" s="6"/>
      <c r="D67" s="7"/>
      <c r="E67" s="6"/>
      <c r="F67" s="6"/>
      <c r="G67" s="7"/>
      <c r="H67" s="6"/>
      <c r="I67" s="7"/>
    </row>
    <row r="68" customFormat="false" ht="15" hidden="false" customHeight="false" outlineLevel="0" collapsed="false">
      <c r="A68" s="13"/>
      <c r="B68" s="12"/>
      <c r="C68" s="12"/>
      <c r="D68" s="13"/>
      <c r="E68" s="12"/>
      <c r="F68" s="12"/>
      <c r="G68" s="13"/>
      <c r="H68" s="12"/>
      <c r="I68" s="13"/>
    </row>
    <row r="69" customFormat="false" ht="15" hidden="false" customHeight="false" outlineLevel="0" collapsed="false">
      <c r="A69" s="7"/>
      <c r="B69" s="6"/>
      <c r="C69" s="6"/>
      <c r="D69" s="7"/>
      <c r="E69" s="6"/>
      <c r="F69" s="6"/>
      <c r="G69" s="7"/>
      <c r="H69" s="6"/>
      <c r="I69" s="7"/>
    </row>
    <row r="70" customFormat="false" ht="15" hidden="false" customHeight="false" outlineLevel="0" collapsed="false">
      <c r="A70" s="13"/>
      <c r="B70" s="12"/>
      <c r="C70" s="12"/>
      <c r="D70" s="13"/>
      <c r="E70" s="12"/>
      <c r="F70" s="12"/>
      <c r="G70" s="13"/>
      <c r="H70" s="12"/>
      <c r="I70" s="13"/>
    </row>
    <row r="71" customFormat="false" ht="15" hidden="false" customHeight="false" outlineLevel="0" collapsed="false">
      <c r="A71" s="7"/>
      <c r="B71" s="6"/>
      <c r="C71" s="6"/>
      <c r="D71" s="7"/>
      <c r="E71" s="6"/>
      <c r="F71" s="6"/>
      <c r="G71" s="7"/>
      <c r="H71" s="6"/>
      <c r="I71" s="7"/>
    </row>
    <row r="72" customFormat="false" ht="15" hidden="false" customHeight="false" outlineLevel="0" collapsed="false">
      <c r="A72" s="13"/>
      <c r="B72" s="12"/>
      <c r="C72" s="12"/>
      <c r="D72" s="13"/>
      <c r="E72" s="12"/>
      <c r="F72" s="12"/>
      <c r="G72" s="13"/>
      <c r="H72" s="12"/>
      <c r="I72" s="13"/>
    </row>
    <row r="73" customFormat="false" ht="15" hidden="false" customHeight="false" outlineLevel="0" collapsed="false">
      <c r="A73" s="7"/>
      <c r="B73" s="6"/>
      <c r="C73" s="6"/>
      <c r="D73" s="7"/>
      <c r="E73" s="6"/>
      <c r="F73" s="6"/>
      <c r="G73" s="7"/>
      <c r="H73" s="6"/>
      <c r="I73" s="7"/>
    </row>
    <row r="74" customFormat="false" ht="15" hidden="false" customHeight="false" outlineLevel="0" collapsed="false">
      <c r="A74" s="13"/>
      <c r="B74" s="12"/>
      <c r="C74" s="12"/>
      <c r="D74" s="13"/>
      <c r="E74" s="12"/>
      <c r="F74" s="12"/>
      <c r="G74" s="13"/>
      <c r="H74" s="12"/>
      <c r="I74" s="13"/>
    </row>
    <row r="75" customFormat="false" ht="15" hidden="false" customHeight="false" outlineLevel="0" collapsed="false">
      <c r="A75" s="7"/>
      <c r="B75" s="6"/>
      <c r="C75" s="6"/>
      <c r="D75" s="7"/>
      <c r="E75" s="6"/>
      <c r="F75" s="6"/>
      <c r="G75" s="7"/>
      <c r="H75" s="6"/>
      <c r="I75" s="7"/>
    </row>
    <row r="76" customFormat="false" ht="15" hidden="false" customHeight="false" outlineLevel="0" collapsed="false">
      <c r="A76" s="13"/>
      <c r="B76" s="12"/>
      <c r="C76" s="12"/>
      <c r="D76" s="13"/>
      <c r="E76" s="12"/>
      <c r="F76" s="12"/>
      <c r="G76" s="13"/>
      <c r="H76" s="12"/>
      <c r="I76" s="13"/>
    </row>
    <row r="77" customFormat="false" ht="15" hidden="false" customHeight="false" outlineLevel="0" collapsed="false">
      <c r="A77" s="7"/>
      <c r="B77" s="6"/>
      <c r="C77" s="6"/>
      <c r="D77" s="7"/>
      <c r="E77" s="6"/>
      <c r="F77" s="6"/>
      <c r="G77" s="7"/>
      <c r="H77" s="6"/>
      <c r="I77" s="7"/>
    </row>
    <row r="78" customFormat="false" ht="15" hidden="false" customHeight="false" outlineLevel="0" collapsed="false">
      <c r="A78" s="13"/>
      <c r="B78" s="12"/>
      <c r="C78" s="12"/>
      <c r="D78" s="13"/>
      <c r="E78" s="12"/>
      <c r="F78" s="12"/>
      <c r="G78" s="13"/>
      <c r="H78" s="12"/>
      <c r="I78" s="13"/>
    </row>
    <row r="79" customFormat="false" ht="15" hidden="false" customHeight="false" outlineLevel="0" collapsed="false">
      <c r="A79" s="7"/>
      <c r="B79" s="6"/>
      <c r="C79" s="6"/>
      <c r="D79" s="7"/>
      <c r="E79" s="6"/>
      <c r="F79" s="6"/>
      <c r="G79" s="7"/>
      <c r="H79" s="6"/>
      <c r="I79" s="7"/>
    </row>
    <row r="80" customFormat="false" ht="15" hidden="false" customHeight="false" outlineLevel="0" collapsed="false">
      <c r="A80" s="13"/>
      <c r="B80" s="12"/>
      <c r="C80" s="12"/>
      <c r="D80" s="13"/>
      <c r="E80" s="12"/>
      <c r="F80" s="12"/>
      <c r="G80" s="13"/>
      <c r="H80" s="12"/>
      <c r="I80" s="13"/>
    </row>
    <row r="81" customFormat="false" ht="15" hidden="false" customHeight="false" outlineLevel="0" collapsed="false">
      <c r="A81" s="7"/>
      <c r="B81" s="6"/>
      <c r="C81" s="6"/>
      <c r="D81" s="7"/>
      <c r="E81" s="6"/>
      <c r="F81" s="6"/>
      <c r="G81" s="7"/>
      <c r="H81" s="6"/>
      <c r="I81" s="7"/>
    </row>
    <row r="82" customFormat="false" ht="15" hidden="false" customHeight="false" outlineLevel="0" collapsed="false">
      <c r="A82" s="13"/>
      <c r="B82" s="12"/>
      <c r="C82" s="12"/>
      <c r="D82" s="13"/>
      <c r="E82" s="12"/>
      <c r="F82" s="12"/>
      <c r="G82" s="13"/>
      <c r="H82" s="12"/>
      <c r="I82" s="13"/>
    </row>
    <row r="83" customFormat="false" ht="15" hidden="false" customHeight="false" outlineLevel="0" collapsed="false">
      <c r="A83" s="7"/>
      <c r="B83" s="6"/>
      <c r="C83" s="6"/>
      <c r="D83" s="7"/>
      <c r="E83" s="6"/>
      <c r="F83" s="6"/>
      <c r="G83" s="7"/>
      <c r="H83" s="6"/>
      <c r="I83" s="7"/>
    </row>
    <row r="84" customFormat="false" ht="15" hidden="false" customHeight="false" outlineLevel="0" collapsed="false">
      <c r="A84" s="13"/>
      <c r="B84" s="12"/>
      <c r="C84" s="12"/>
      <c r="D84" s="13"/>
      <c r="E84" s="12"/>
      <c r="F84" s="12"/>
      <c r="G84" s="13"/>
      <c r="H84" s="12"/>
      <c r="I84" s="13"/>
    </row>
    <row r="85" customFormat="false" ht="15" hidden="false" customHeight="false" outlineLevel="0" collapsed="false">
      <c r="A85" s="7"/>
      <c r="B85" s="6"/>
      <c r="C85" s="6"/>
      <c r="D85" s="7"/>
      <c r="E85" s="6"/>
      <c r="F85" s="6"/>
      <c r="G85" s="7"/>
      <c r="H85" s="6"/>
      <c r="I85" s="7"/>
    </row>
    <row r="86" customFormat="false" ht="15" hidden="false" customHeight="false" outlineLevel="0" collapsed="false">
      <c r="A86" s="13"/>
      <c r="B86" s="12"/>
      <c r="C86" s="12"/>
      <c r="D86" s="13"/>
      <c r="E86" s="12"/>
      <c r="F86" s="12"/>
      <c r="G86" s="13"/>
      <c r="H86" s="12"/>
      <c r="I86" s="13"/>
    </row>
    <row r="87" customFormat="false" ht="15" hidden="false" customHeight="false" outlineLevel="0" collapsed="false">
      <c r="A87" s="7"/>
      <c r="B87" s="6"/>
      <c r="C87" s="6"/>
      <c r="D87" s="7"/>
      <c r="E87" s="6"/>
      <c r="F87" s="6"/>
      <c r="G87" s="7"/>
      <c r="H87" s="6"/>
      <c r="I87" s="7"/>
    </row>
    <row r="88" customFormat="false" ht="15" hidden="false" customHeight="false" outlineLevel="0" collapsed="false">
      <c r="A88" s="13"/>
      <c r="B88" s="12"/>
      <c r="C88" s="12"/>
      <c r="D88" s="13"/>
      <c r="E88" s="12"/>
      <c r="F88" s="12"/>
      <c r="G88" s="13"/>
      <c r="H88" s="12"/>
      <c r="I88" s="13"/>
    </row>
    <row r="89" customFormat="false" ht="15" hidden="false" customHeight="false" outlineLevel="0" collapsed="false">
      <c r="A89" s="7"/>
      <c r="B89" s="6"/>
      <c r="C89" s="6"/>
      <c r="D89" s="7"/>
      <c r="E89" s="6"/>
      <c r="F89" s="6"/>
      <c r="G89" s="7"/>
      <c r="H89" s="6"/>
      <c r="I89" s="7"/>
    </row>
    <row r="90" customFormat="false" ht="15" hidden="false" customHeight="false" outlineLevel="0" collapsed="false">
      <c r="A90" s="13"/>
      <c r="B90" s="12"/>
      <c r="C90" s="12"/>
      <c r="D90" s="13"/>
      <c r="E90" s="12"/>
      <c r="F90" s="12"/>
      <c r="G90" s="13"/>
      <c r="H90" s="12"/>
      <c r="I90" s="13"/>
    </row>
    <row r="91" customFormat="false" ht="15" hidden="false" customHeight="false" outlineLevel="0" collapsed="false">
      <c r="A91" s="7"/>
      <c r="B91" s="6"/>
      <c r="C91" s="6"/>
      <c r="D91" s="7"/>
      <c r="E91" s="6"/>
      <c r="F91" s="6"/>
      <c r="G91" s="7"/>
      <c r="H91" s="6"/>
      <c r="I91" s="7"/>
    </row>
    <row r="92" customFormat="false" ht="15" hidden="false" customHeight="false" outlineLevel="0" collapsed="false">
      <c r="A92" s="13"/>
      <c r="B92" s="12"/>
      <c r="C92" s="12"/>
      <c r="D92" s="13"/>
      <c r="E92" s="12"/>
      <c r="F92" s="12"/>
      <c r="G92" s="13"/>
      <c r="H92" s="12"/>
      <c r="I92" s="13"/>
    </row>
    <row r="93" customFormat="false" ht="15" hidden="false" customHeight="false" outlineLevel="0" collapsed="false">
      <c r="A93" s="7"/>
      <c r="B93" s="6"/>
      <c r="C93" s="6"/>
      <c r="D93" s="7"/>
      <c r="E93" s="6"/>
      <c r="F93" s="6"/>
      <c r="G93" s="7"/>
      <c r="H93" s="6"/>
      <c r="I93" s="7"/>
    </row>
    <row r="94" customFormat="false" ht="15" hidden="false" customHeight="false" outlineLevel="0" collapsed="false">
      <c r="A94" s="13"/>
      <c r="B94" s="12"/>
      <c r="C94" s="12"/>
      <c r="D94" s="13"/>
      <c r="E94" s="12"/>
      <c r="F94" s="12"/>
      <c r="G94" s="13"/>
      <c r="H94" s="12"/>
      <c r="I94" s="13"/>
    </row>
    <row r="95" customFormat="false" ht="15" hidden="false" customHeight="false" outlineLevel="0" collapsed="false">
      <c r="A95" s="7"/>
      <c r="B95" s="6"/>
      <c r="C95" s="6"/>
      <c r="D95" s="7"/>
      <c r="E95" s="6"/>
      <c r="F95" s="6"/>
      <c r="G95" s="7"/>
      <c r="H95" s="6"/>
      <c r="I95" s="7"/>
    </row>
    <row r="96" customFormat="false" ht="15" hidden="false" customHeight="false" outlineLevel="0" collapsed="false">
      <c r="A96" s="13"/>
      <c r="B96" s="12"/>
      <c r="C96" s="12"/>
      <c r="D96" s="13"/>
      <c r="E96" s="12"/>
      <c r="F96" s="12"/>
      <c r="G96" s="13"/>
      <c r="H96" s="12"/>
      <c r="I96" s="13"/>
    </row>
    <row r="97" customFormat="false" ht="15" hidden="false" customHeight="false" outlineLevel="0" collapsed="false">
      <c r="A97" s="7"/>
      <c r="B97" s="6"/>
      <c r="C97" s="6"/>
      <c r="D97" s="7"/>
      <c r="E97" s="6"/>
      <c r="F97" s="6"/>
      <c r="G97" s="7"/>
      <c r="H97" s="6"/>
      <c r="I97" s="7"/>
    </row>
    <row r="98" customFormat="false" ht="15" hidden="false" customHeight="false" outlineLevel="0" collapsed="false">
      <c r="A98" s="13"/>
      <c r="B98" s="12"/>
      <c r="C98" s="12"/>
      <c r="D98" s="13"/>
      <c r="E98" s="12"/>
      <c r="F98" s="12"/>
      <c r="G98" s="13"/>
      <c r="H98" s="12"/>
      <c r="I98" s="13"/>
    </row>
    <row r="99" customFormat="false" ht="15" hidden="false" customHeight="false" outlineLevel="0" collapsed="false">
      <c r="A99" s="7"/>
      <c r="B99" s="6"/>
      <c r="C99" s="6"/>
      <c r="D99" s="7"/>
      <c r="E99" s="6"/>
      <c r="F99" s="6"/>
      <c r="G99" s="7"/>
      <c r="H99" s="6"/>
      <c r="I99" s="7"/>
    </row>
    <row r="100" customFormat="false" ht="15" hidden="false" customHeight="false" outlineLevel="0" collapsed="false">
      <c r="A100" s="13"/>
      <c r="B100" s="12"/>
      <c r="C100" s="12"/>
      <c r="D100" s="13"/>
      <c r="E100" s="12"/>
      <c r="F100" s="12"/>
      <c r="G100" s="13"/>
      <c r="H100" s="12"/>
      <c r="I100" s="13"/>
    </row>
    <row r="101" customFormat="false" ht="15" hidden="false" customHeight="false" outlineLevel="0" collapsed="false">
      <c r="A101" s="7"/>
      <c r="B101" s="6"/>
      <c r="C101" s="6"/>
      <c r="D101" s="7"/>
      <c r="E101" s="6"/>
      <c r="F101" s="6"/>
      <c r="G101" s="7"/>
      <c r="H101" s="6"/>
      <c r="I101" s="7"/>
    </row>
    <row r="102" customFormat="false" ht="15" hidden="false" customHeight="false" outlineLevel="0" collapsed="false">
      <c r="A102" s="13"/>
      <c r="B102" s="12"/>
      <c r="C102" s="12"/>
      <c r="D102" s="13"/>
      <c r="E102" s="12"/>
      <c r="F102" s="12"/>
      <c r="G102" s="13"/>
      <c r="H102" s="12"/>
      <c r="I102" s="13"/>
    </row>
    <row r="103" customFormat="false" ht="15" hidden="false" customHeight="false" outlineLevel="0" collapsed="false">
      <c r="A103" s="7"/>
      <c r="B103" s="6"/>
      <c r="C103" s="6"/>
      <c r="D103" s="7"/>
      <c r="E103" s="6"/>
      <c r="F103" s="6"/>
      <c r="G103" s="7"/>
      <c r="H103" s="6"/>
      <c r="I103" s="7"/>
    </row>
    <row r="104" customFormat="false" ht="15" hidden="false" customHeight="false" outlineLevel="0" collapsed="false">
      <c r="A104" s="13"/>
      <c r="B104" s="12"/>
      <c r="C104" s="12"/>
      <c r="D104" s="13"/>
      <c r="E104" s="12"/>
      <c r="F104" s="12"/>
      <c r="G104" s="13"/>
      <c r="H104" s="12"/>
      <c r="I104" s="13"/>
    </row>
    <row r="105" customFormat="false" ht="15" hidden="false" customHeight="false" outlineLevel="0" collapsed="false">
      <c r="A105" s="7"/>
      <c r="B105" s="6"/>
      <c r="C105" s="6"/>
      <c r="D105" s="7"/>
      <c r="E105" s="6"/>
      <c r="F105" s="6"/>
      <c r="G105" s="7"/>
      <c r="H105" s="6"/>
      <c r="I105" s="7"/>
    </row>
    <row r="106" customFormat="false" ht="15" hidden="false" customHeight="false" outlineLevel="0" collapsed="false">
      <c r="A106" s="13"/>
      <c r="B106" s="12"/>
      <c r="C106" s="12"/>
      <c r="D106" s="13"/>
      <c r="E106" s="12"/>
      <c r="F106" s="12"/>
      <c r="G106" s="13"/>
      <c r="H106" s="12"/>
      <c r="I106" s="13"/>
    </row>
    <row r="107" customFormat="false" ht="15" hidden="false" customHeight="false" outlineLevel="0" collapsed="false">
      <c r="A107" s="7"/>
      <c r="B107" s="6"/>
      <c r="C107" s="6"/>
      <c r="D107" s="7"/>
      <c r="E107" s="6"/>
      <c r="F107" s="6"/>
      <c r="G107" s="7"/>
      <c r="H107" s="6"/>
      <c r="I107" s="7"/>
    </row>
    <row r="108" customFormat="false" ht="15" hidden="false" customHeight="false" outlineLevel="0" collapsed="false">
      <c r="A108" s="13"/>
      <c r="B108" s="12"/>
      <c r="C108" s="12"/>
      <c r="D108" s="13"/>
      <c r="E108" s="12"/>
      <c r="F108" s="12"/>
      <c r="G108" s="13"/>
      <c r="H108" s="12"/>
      <c r="I108" s="13"/>
    </row>
    <row r="109" customFormat="false" ht="15" hidden="false" customHeight="false" outlineLevel="0" collapsed="false">
      <c r="A109" s="7"/>
      <c r="B109" s="6"/>
      <c r="C109" s="6"/>
      <c r="D109" s="7"/>
      <c r="E109" s="6"/>
      <c r="F109" s="6"/>
      <c r="G109" s="7"/>
      <c r="H109" s="6"/>
      <c r="I109" s="7"/>
    </row>
    <row r="110" customFormat="false" ht="15" hidden="false" customHeight="false" outlineLevel="0" collapsed="false">
      <c r="A110" s="13"/>
      <c r="B110" s="12"/>
      <c r="C110" s="12"/>
      <c r="D110" s="13"/>
      <c r="E110" s="12"/>
      <c r="F110" s="12"/>
      <c r="G110" s="13"/>
      <c r="H110" s="12"/>
      <c r="I110" s="13"/>
    </row>
    <row r="111" customFormat="false" ht="15" hidden="false" customHeight="false" outlineLevel="0" collapsed="false">
      <c r="A111" s="7"/>
      <c r="B111" s="6"/>
      <c r="C111" s="6"/>
      <c r="D111" s="7"/>
      <c r="E111" s="6"/>
      <c r="F111" s="6"/>
      <c r="G111" s="7"/>
      <c r="H111" s="6"/>
      <c r="I111" s="7"/>
    </row>
    <row r="112" customFormat="false" ht="15" hidden="false" customHeight="false" outlineLevel="0" collapsed="false">
      <c r="A112" s="13"/>
      <c r="B112" s="12"/>
      <c r="C112" s="12"/>
      <c r="D112" s="13"/>
      <c r="E112" s="12"/>
      <c r="F112" s="12"/>
      <c r="G112" s="13"/>
      <c r="H112" s="12"/>
      <c r="I112" s="13"/>
    </row>
    <row r="113" customFormat="false" ht="15" hidden="false" customHeight="false" outlineLevel="0" collapsed="false">
      <c r="A113" s="7"/>
      <c r="B113" s="6"/>
      <c r="C113" s="6"/>
      <c r="D113" s="7"/>
      <c r="E113" s="6"/>
      <c r="F113" s="6"/>
      <c r="G113" s="7"/>
      <c r="H113" s="6"/>
      <c r="I113" s="7"/>
    </row>
    <row r="114" customFormat="false" ht="15" hidden="false" customHeight="false" outlineLevel="0" collapsed="false">
      <c r="A114" s="13"/>
      <c r="B114" s="12"/>
      <c r="C114" s="12"/>
      <c r="D114" s="13"/>
      <c r="E114" s="12"/>
      <c r="F114" s="12"/>
      <c r="G114" s="13"/>
      <c r="H114" s="12"/>
      <c r="I114" s="13"/>
    </row>
    <row r="115" customFormat="false" ht="15" hidden="false" customHeight="false" outlineLevel="0" collapsed="false">
      <c r="A115" s="7"/>
      <c r="B115" s="6"/>
      <c r="C115" s="6"/>
      <c r="D115" s="7"/>
      <c r="E115" s="6"/>
      <c r="F115" s="6"/>
      <c r="G115" s="7"/>
      <c r="H115" s="6"/>
      <c r="I115" s="7"/>
    </row>
    <row r="116" customFormat="false" ht="15" hidden="false" customHeight="false" outlineLevel="0" collapsed="false">
      <c r="A116" s="13"/>
      <c r="B116" s="12"/>
      <c r="C116" s="12"/>
      <c r="D116" s="13"/>
      <c r="E116" s="12"/>
      <c r="F116" s="12"/>
      <c r="G116" s="13"/>
      <c r="H116" s="12"/>
      <c r="I116" s="13"/>
    </row>
    <row r="117" customFormat="false" ht="15" hidden="false" customHeight="false" outlineLevel="0" collapsed="false">
      <c r="A117" s="7"/>
      <c r="B117" s="6"/>
      <c r="C117" s="6"/>
      <c r="D117" s="7"/>
      <c r="E117" s="6"/>
      <c r="F117" s="6"/>
      <c r="G117" s="7"/>
      <c r="H117" s="6"/>
      <c r="I117" s="7"/>
    </row>
    <row r="118" customFormat="false" ht="15" hidden="false" customHeight="false" outlineLevel="0" collapsed="false">
      <c r="A118" s="13"/>
      <c r="B118" s="12"/>
      <c r="C118" s="12"/>
      <c r="D118" s="13"/>
      <c r="E118" s="12"/>
      <c r="F118" s="12"/>
      <c r="G118" s="13"/>
      <c r="H118" s="12"/>
      <c r="I118" s="13"/>
    </row>
    <row r="119" customFormat="false" ht="15" hidden="false" customHeight="false" outlineLevel="0" collapsed="false">
      <c r="A119" s="7"/>
      <c r="B119" s="6"/>
      <c r="C119" s="6"/>
      <c r="D119" s="7"/>
      <c r="E119" s="6"/>
      <c r="F119" s="6"/>
      <c r="G119" s="7"/>
      <c r="H119" s="6"/>
      <c r="I119" s="7"/>
    </row>
    <row r="120" customFormat="false" ht="15" hidden="false" customHeight="false" outlineLevel="0" collapsed="false">
      <c r="A120" s="13"/>
      <c r="B120" s="12"/>
      <c r="C120" s="12"/>
      <c r="D120" s="13"/>
      <c r="E120" s="12"/>
      <c r="F120" s="12"/>
      <c r="G120" s="13"/>
      <c r="H120" s="12"/>
      <c r="I120" s="13"/>
    </row>
    <row r="121" customFormat="false" ht="15" hidden="false" customHeight="false" outlineLevel="0" collapsed="false">
      <c r="A121" s="7"/>
      <c r="B121" s="6"/>
      <c r="C121" s="6"/>
      <c r="D121" s="7"/>
      <c r="E121" s="6"/>
      <c r="F121" s="6"/>
      <c r="G121" s="7"/>
      <c r="H121" s="6"/>
      <c r="I121" s="7"/>
    </row>
    <row r="122" customFormat="false" ht="15" hidden="false" customHeight="false" outlineLevel="0" collapsed="false">
      <c r="A122" s="13"/>
      <c r="B122" s="12"/>
      <c r="C122" s="12"/>
      <c r="D122" s="13"/>
      <c r="E122" s="12"/>
      <c r="F122" s="12"/>
      <c r="G122" s="13"/>
      <c r="H122" s="12"/>
      <c r="I122" s="13"/>
    </row>
    <row r="123" customFormat="false" ht="15" hidden="false" customHeight="false" outlineLevel="0" collapsed="false">
      <c r="A123" s="7"/>
      <c r="B123" s="6"/>
      <c r="C123" s="6"/>
      <c r="D123" s="7"/>
      <c r="E123" s="6"/>
      <c r="F123" s="6"/>
      <c r="G123" s="7"/>
      <c r="H123" s="6"/>
      <c r="I123" s="7"/>
    </row>
    <row r="124" customFormat="false" ht="15" hidden="false" customHeight="false" outlineLevel="0" collapsed="false">
      <c r="A124" s="13"/>
      <c r="B124" s="12"/>
      <c r="C124" s="12"/>
      <c r="D124" s="13"/>
      <c r="E124" s="12"/>
      <c r="F124" s="12"/>
      <c r="G124" s="13"/>
      <c r="H124" s="12"/>
      <c r="I124" s="13"/>
    </row>
    <row r="125" customFormat="false" ht="15" hidden="false" customHeight="false" outlineLevel="0" collapsed="false">
      <c r="A125" s="7"/>
      <c r="B125" s="6"/>
      <c r="C125" s="6"/>
      <c r="D125" s="7"/>
      <c r="E125" s="6"/>
      <c r="F125" s="6"/>
      <c r="G125" s="7"/>
      <c r="H125" s="6"/>
      <c r="I125" s="7"/>
    </row>
    <row r="126" customFormat="false" ht="15" hidden="false" customHeight="false" outlineLevel="0" collapsed="false">
      <c r="A126" s="13"/>
      <c r="B126" s="12"/>
      <c r="C126" s="12"/>
      <c r="D126" s="13"/>
      <c r="E126" s="12"/>
      <c r="F126" s="12"/>
      <c r="G126" s="13"/>
      <c r="H126" s="12"/>
      <c r="I126" s="13"/>
    </row>
    <row r="127" customFormat="false" ht="15" hidden="false" customHeight="false" outlineLevel="0" collapsed="false">
      <c r="A127" s="7"/>
      <c r="B127" s="6"/>
      <c r="C127" s="6"/>
      <c r="D127" s="7"/>
      <c r="E127" s="6"/>
      <c r="F127" s="6"/>
      <c r="G127" s="7"/>
      <c r="H127" s="6"/>
      <c r="I127" s="7"/>
    </row>
    <row r="128" customFormat="false" ht="15" hidden="false" customHeight="false" outlineLevel="0" collapsed="false">
      <c r="A128" s="13"/>
      <c r="B128" s="12"/>
      <c r="C128" s="12"/>
      <c r="D128" s="13"/>
      <c r="E128" s="12"/>
      <c r="F128" s="12"/>
      <c r="G128" s="13"/>
      <c r="H128" s="12"/>
      <c r="I128" s="13"/>
    </row>
    <row r="129" customFormat="false" ht="15" hidden="false" customHeight="false" outlineLevel="0" collapsed="false">
      <c r="A129" s="7"/>
      <c r="B129" s="6"/>
      <c r="C129" s="6"/>
      <c r="D129" s="7"/>
      <c r="E129" s="6"/>
      <c r="F129" s="6"/>
      <c r="G129" s="7"/>
      <c r="H129" s="6"/>
      <c r="I129" s="7"/>
    </row>
    <row r="130" customFormat="false" ht="15" hidden="false" customHeight="false" outlineLevel="0" collapsed="false">
      <c r="A130" s="13"/>
      <c r="B130" s="12"/>
      <c r="C130" s="12"/>
      <c r="D130" s="13"/>
      <c r="E130" s="12"/>
      <c r="F130" s="12"/>
      <c r="G130" s="13"/>
      <c r="H130" s="12"/>
      <c r="I130" s="13"/>
    </row>
    <row r="131" customFormat="false" ht="15" hidden="false" customHeight="false" outlineLevel="0" collapsed="false">
      <c r="A131" s="7"/>
      <c r="B131" s="6"/>
      <c r="C131" s="6"/>
      <c r="D131" s="7"/>
      <c r="E131" s="6"/>
      <c r="F131" s="6"/>
      <c r="G131" s="7"/>
      <c r="H131" s="6"/>
      <c r="I131" s="7"/>
    </row>
    <row r="132" customFormat="false" ht="15" hidden="false" customHeight="false" outlineLevel="0" collapsed="false">
      <c r="A132" s="13"/>
      <c r="B132" s="12"/>
      <c r="C132" s="12"/>
      <c r="D132" s="13"/>
      <c r="E132" s="12"/>
      <c r="F132" s="12"/>
      <c r="G132" s="13"/>
      <c r="H132" s="12"/>
      <c r="I132" s="13"/>
    </row>
    <row r="133" customFormat="false" ht="15" hidden="false" customHeight="false" outlineLevel="0" collapsed="false">
      <c r="A133" s="7"/>
      <c r="B133" s="6"/>
      <c r="C133" s="6"/>
      <c r="D133" s="7"/>
      <c r="E133" s="6"/>
      <c r="F133" s="6"/>
      <c r="G133" s="7"/>
      <c r="H133" s="6"/>
      <c r="I133" s="7"/>
    </row>
    <row r="134" customFormat="false" ht="15" hidden="false" customHeight="false" outlineLevel="0" collapsed="false">
      <c r="A134" s="13"/>
      <c r="B134" s="12"/>
      <c r="C134" s="12"/>
      <c r="D134" s="13"/>
      <c r="E134" s="12"/>
      <c r="F134" s="12"/>
      <c r="G134" s="13"/>
      <c r="H134" s="12"/>
      <c r="I134" s="13"/>
    </row>
    <row r="135" customFormat="false" ht="15" hidden="false" customHeight="false" outlineLevel="0" collapsed="false">
      <c r="A135" s="7"/>
      <c r="B135" s="6"/>
      <c r="C135" s="6"/>
      <c r="D135" s="7"/>
      <c r="E135" s="6"/>
      <c r="F135" s="6"/>
      <c r="G135" s="7"/>
      <c r="H135" s="6"/>
      <c r="I135" s="7"/>
    </row>
    <row r="136" customFormat="false" ht="15" hidden="false" customHeight="false" outlineLevel="0" collapsed="false">
      <c r="A136" s="13"/>
      <c r="B136" s="12"/>
      <c r="C136" s="12"/>
      <c r="D136" s="13"/>
      <c r="E136" s="12"/>
      <c r="F136" s="12"/>
      <c r="G136" s="13"/>
      <c r="H136" s="12"/>
      <c r="I136" s="13"/>
    </row>
    <row r="137" customFormat="false" ht="15" hidden="false" customHeight="false" outlineLevel="0" collapsed="false">
      <c r="A137" s="7"/>
      <c r="B137" s="6"/>
      <c r="C137" s="6"/>
      <c r="D137" s="7"/>
      <c r="E137" s="6"/>
      <c r="F137" s="6"/>
      <c r="G137" s="7"/>
      <c r="H137" s="6"/>
      <c r="I137" s="7"/>
    </row>
    <row r="138" customFormat="false" ht="15" hidden="false" customHeight="false" outlineLevel="0" collapsed="false">
      <c r="A138" s="13"/>
      <c r="B138" s="12"/>
      <c r="C138" s="12"/>
      <c r="D138" s="13"/>
      <c r="E138" s="12"/>
      <c r="F138" s="12"/>
      <c r="G138" s="13"/>
      <c r="H138" s="12"/>
      <c r="I138" s="13"/>
    </row>
    <row r="139" customFormat="false" ht="15" hidden="false" customHeight="false" outlineLevel="0" collapsed="false">
      <c r="A139" s="7"/>
      <c r="B139" s="6"/>
      <c r="C139" s="6"/>
      <c r="D139" s="7"/>
      <c r="E139" s="6"/>
      <c r="F139" s="6"/>
      <c r="G139" s="7"/>
      <c r="H139" s="6"/>
      <c r="I139" s="7"/>
    </row>
    <row r="140" customFormat="false" ht="15" hidden="false" customHeight="false" outlineLevel="0" collapsed="false">
      <c r="A140" s="13"/>
      <c r="B140" s="12"/>
      <c r="C140" s="12"/>
      <c r="D140" s="13"/>
      <c r="E140" s="12"/>
      <c r="F140" s="12"/>
      <c r="G140" s="13"/>
      <c r="H140" s="12"/>
      <c r="I140" s="13"/>
    </row>
    <row r="141" customFormat="false" ht="15" hidden="false" customHeight="false" outlineLevel="0" collapsed="false">
      <c r="A141" s="7"/>
      <c r="B141" s="6"/>
      <c r="C141" s="6"/>
      <c r="D141" s="7"/>
      <c r="E141" s="6"/>
      <c r="F141" s="6"/>
      <c r="G141" s="7"/>
      <c r="H141" s="6"/>
      <c r="I141" s="7"/>
    </row>
    <row r="142" customFormat="false" ht="15" hidden="false" customHeight="false" outlineLevel="0" collapsed="false">
      <c r="A142" s="13"/>
      <c r="B142" s="12"/>
      <c r="C142" s="12"/>
      <c r="D142" s="13"/>
      <c r="E142" s="12"/>
      <c r="F142" s="12"/>
      <c r="G142" s="13"/>
      <c r="H142" s="12"/>
      <c r="I142" s="13"/>
    </row>
    <row r="143" customFormat="false" ht="15" hidden="false" customHeight="false" outlineLevel="0" collapsed="false">
      <c r="A143" s="7"/>
      <c r="B143" s="6"/>
      <c r="C143" s="6"/>
      <c r="D143" s="7"/>
      <c r="E143" s="6"/>
      <c r="F143" s="6"/>
      <c r="G143" s="7"/>
      <c r="H143" s="6"/>
      <c r="I143" s="7"/>
    </row>
    <row r="144" customFormat="false" ht="15" hidden="false" customHeight="false" outlineLevel="0" collapsed="false">
      <c r="A144" s="13"/>
      <c r="B144" s="12"/>
      <c r="C144" s="12"/>
      <c r="D144" s="13"/>
      <c r="E144" s="12"/>
      <c r="F144" s="12"/>
      <c r="G144" s="13"/>
      <c r="H144" s="12"/>
      <c r="I144" s="13"/>
    </row>
    <row r="145" customFormat="false" ht="15" hidden="false" customHeight="false" outlineLevel="0" collapsed="false">
      <c r="A145" s="7"/>
      <c r="B145" s="6"/>
      <c r="C145" s="6"/>
      <c r="D145" s="7"/>
      <c r="E145" s="6"/>
      <c r="F145" s="6"/>
      <c r="G145" s="7"/>
      <c r="H145" s="6"/>
      <c r="I145" s="7"/>
    </row>
    <row r="146" customFormat="false" ht="15" hidden="false" customHeight="false" outlineLevel="0" collapsed="false">
      <c r="A146" s="13"/>
      <c r="B146" s="12"/>
      <c r="C146" s="12"/>
      <c r="D146" s="13"/>
      <c r="E146" s="12"/>
      <c r="F146" s="12"/>
      <c r="G146" s="13"/>
      <c r="H146" s="12"/>
      <c r="I146" s="13"/>
    </row>
    <row r="147" customFormat="false" ht="15" hidden="false" customHeight="false" outlineLevel="0" collapsed="false">
      <c r="A147" s="7"/>
      <c r="B147" s="6"/>
      <c r="C147" s="6"/>
      <c r="D147" s="7"/>
      <c r="E147" s="6"/>
      <c r="F147" s="6"/>
      <c r="G147" s="7"/>
      <c r="H147" s="6"/>
      <c r="I147" s="7"/>
    </row>
    <row r="148" customFormat="false" ht="15" hidden="false" customHeight="false" outlineLevel="0" collapsed="false">
      <c r="A148" s="13"/>
      <c r="B148" s="12"/>
      <c r="C148" s="12"/>
      <c r="D148" s="13"/>
      <c r="E148" s="12"/>
      <c r="F148" s="12"/>
      <c r="G148" s="13"/>
      <c r="H148" s="12"/>
      <c r="I148" s="13"/>
    </row>
    <row r="149" customFormat="false" ht="15" hidden="false" customHeight="false" outlineLevel="0" collapsed="false">
      <c r="A149" s="7"/>
      <c r="B149" s="6"/>
      <c r="C149" s="6"/>
      <c r="D149" s="7"/>
      <c r="E149" s="6"/>
      <c r="F149" s="6"/>
      <c r="G149" s="7"/>
      <c r="H149" s="6"/>
      <c r="I149" s="7"/>
    </row>
    <row r="150" customFormat="false" ht="15" hidden="false" customHeight="false" outlineLevel="0" collapsed="false">
      <c r="A150" s="13"/>
      <c r="B150" s="12"/>
      <c r="C150" s="12"/>
      <c r="D150" s="13"/>
      <c r="E150" s="12"/>
      <c r="F150" s="12"/>
      <c r="G150" s="13"/>
      <c r="H150" s="12"/>
      <c r="I150" s="13"/>
    </row>
    <row r="151" customFormat="false" ht="15" hidden="false" customHeight="false" outlineLevel="0" collapsed="false">
      <c r="A151" s="7"/>
      <c r="B151" s="6"/>
      <c r="C151" s="6"/>
      <c r="D151" s="7"/>
      <c r="E151" s="6"/>
      <c r="F151" s="6"/>
      <c r="G151" s="7"/>
      <c r="H151" s="6"/>
      <c r="I151" s="7"/>
    </row>
    <row r="152" customFormat="false" ht="15" hidden="false" customHeight="false" outlineLevel="0" collapsed="false">
      <c r="A152" s="13"/>
      <c r="B152" s="12"/>
      <c r="C152" s="12"/>
      <c r="D152" s="13"/>
      <c r="E152" s="12"/>
      <c r="F152" s="12"/>
      <c r="G152" s="13"/>
      <c r="H152" s="12"/>
      <c r="I152" s="13"/>
    </row>
    <row r="153" customFormat="false" ht="15" hidden="false" customHeight="false" outlineLevel="0" collapsed="false">
      <c r="A153" s="7"/>
      <c r="B153" s="6"/>
      <c r="C153" s="6"/>
      <c r="D153" s="7"/>
      <c r="E153" s="6"/>
      <c r="F153" s="6"/>
      <c r="G153" s="7"/>
      <c r="H153" s="6"/>
      <c r="I153" s="7"/>
    </row>
    <row r="154" customFormat="false" ht="15" hidden="false" customHeight="false" outlineLevel="0" collapsed="false">
      <c r="A154" s="13"/>
      <c r="B154" s="12"/>
      <c r="C154" s="12"/>
      <c r="D154" s="13"/>
      <c r="E154" s="12"/>
      <c r="F154" s="12"/>
      <c r="G154" s="13"/>
      <c r="H154" s="12"/>
      <c r="I154" s="13"/>
    </row>
    <row r="155" customFormat="false" ht="15" hidden="false" customHeight="false" outlineLevel="0" collapsed="false">
      <c r="A155" s="7"/>
      <c r="B155" s="6"/>
      <c r="C155" s="6"/>
      <c r="D155" s="7"/>
      <c r="E155" s="6"/>
      <c r="F155" s="6"/>
      <c r="G155" s="7"/>
      <c r="H155" s="6"/>
      <c r="I155" s="7"/>
    </row>
    <row r="156" customFormat="false" ht="15" hidden="false" customHeight="false" outlineLevel="0" collapsed="false">
      <c r="A156" s="13"/>
      <c r="B156" s="12"/>
      <c r="C156" s="12"/>
      <c r="D156" s="13"/>
      <c r="E156" s="12"/>
      <c r="F156" s="12"/>
      <c r="G156" s="13"/>
      <c r="H156" s="12"/>
      <c r="I156" s="13"/>
    </row>
    <row r="157" customFormat="false" ht="15" hidden="false" customHeight="false" outlineLevel="0" collapsed="false">
      <c r="A157" s="7"/>
      <c r="B157" s="6"/>
      <c r="C157" s="6"/>
      <c r="D157" s="7"/>
      <c r="E157" s="6"/>
      <c r="F157" s="6"/>
      <c r="G157" s="7"/>
      <c r="H157" s="6"/>
      <c r="I157" s="7"/>
    </row>
    <row r="158" customFormat="false" ht="15" hidden="false" customHeight="false" outlineLevel="0" collapsed="false">
      <c r="A158" s="13"/>
      <c r="B158" s="12"/>
      <c r="C158" s="12"/>
      <c r="D158" s="13"/>
      <c r="E158" s="12"/>
      <c r="F158" s="12"/>
      <c r="G158" s="13"/>
      <c r="H158" s="12"/>
      <c r="I158" s="13"/>
    </row>
    <row r="159" customFormat="false" ht="15" hidden="false" customHeight="false" outlineLevel="0" collapsed="false">
      <c r="A159" s="7"/>
      <c r="B159" s="6"/>
      <c r="C159" s="6"/>
      <c r="D159" s="7"/>
      <c r="E159" s="6"/>
      <c r="F159" s="6"/>
      <c r="G159" s="7"/>
      <c r="H159" s="6"/>
      <c r="I159" s="7"/>
    </row>
    <row r="160" customFormat="false" ht="15" hidden="false" customHeight="false" outlineLevel="0" collapsed="false">
      <c r="A160" s="13"/>
      <c r="B160" s="12"/>
      <c r="C160" s="12"/>
      <c r="D160" s="13"/>
      <c r="E160" s="12"/>
      <c r="F160" s="12"/>
      <c r="G160" s="13"/>
      <c r="H160" s="12"/>
      <c r="I160" s="13"/>
    </row>
    <row r="161" customFormat="false" ht="15" hidden="false" customHeight="false" outlineLevel="0" collapsed="false">
      <c r="A161" s="7"/>
      <c r="B161" s="6"/>
      <c r="C161" s="6"/>
      <c r="D161" s="7"/>
      <c r="E161" s="6"/>
      <c r="F161" s="6"/>
      <c r="G161" s="7"/>
      <c r="H161" s="6"/>
      <c r="I161" s="7"/>
    </row>
    <row r="162" customFormat="false" ht="15" hidden="false" customHeight="false" outlineLevel="0" collapsed="false">
      <c r="A162" s="13"/>
      <c r="B162" s="12"/>
      <c r="C162" s="12"/>
      <c r="D162" s="13"/>
      <c r="E162" s="12"/>
      <c r="F162" s="12"/>
      <c r="G162" s="13"/>
      <c r="H162" s="12"/>
      <c r="I162" s="13"/>
    </row>
    <row r="163" customFormat="false" ht="15" hidden="false" customHeight="false" outlineLevel="0" collapsed="false">
      <c r="A163" s="7"/>
      <c r="B163" s="6"/>
      <c r="C163" s="6"/>
      <c r="D163" s="7"/>
      <c r="E163" s="6"/>
      <c r="F163" s="6"/>
      <c r="G163" s="7"/>
      <c r="H163" s="6"/>
      <c r="I163" s="7"/>
    </row>
    <row r="164" customFormat="false" ht="15" hidden="false" customHeight="false" outlineLevel="0" collapsed="false">
      <c r="A164" s="13"/>
      <c r="B164" s="12"/>
      <c r="C164" s="12"/>
      <c r="D164" s="13"/>
      <c r="E164" s="12"/>
      <c r="F164" s="12"/>
      <c r="G164" s="13"/>
      <c r="H164" s="12"/>
      <c r="I164" s="13"/>
    </row>
    <row r="165" customFormat="false" ht="15" hidden="false" customHeight="false" outlineLevel="0" collapsed="false">
      <c r="A165" s="7"/>
      <c r="B165" s="6"/>
      <c r="C165" s="6"/>
      <c r="D165" s="7"/>
      <c r="E165" s="6"/>
      <c r="F165" s="6"/>
      <c r="G165" s="7"/>
      <c r="H165" s="6"/>
      <c r="I165" s="7"/>
    </row>
    <row r="166" customFormat="false" ht="15" hidden="false" customHeight="false" outlineLevel="0" collapsed="false">
      <c r="A166" s="13"/>
      <c r="B166" s="12"/>
      <c r="C166" s="12"/>
      <c r="D166" s="13"/>
      <c r="E166" s="12"/>
      <c r="F166" s="12"/>
      <c r="G166" s="13"/>
      <c r="H166" s="12"/>
      <c r="I166" s="13"/>
    </row>
    <row r="167" customFormat="false" ht="15" hidden="false" customHeight="false" outlineLevel="0" collapsed="false">
      <c r="A167" s="7"/>
      <c r="B167" s="6"/>
      <c r="C167" s="6"/>
      <c r="D167" s="7"/>
      <c r="E167" s="6"/>
      <c r="F167" s="6"/>
      <c r="G167" s="7"/>
      <c r="H167" s="6"/>
      <c r="I167" s="7"/>
    </row>
    <row r="168" customFormat="false" ht="15" hidden="false" customHeight="false" outlineLevel="0" collapsed="false">
      <c r="A168" s="13"/>
      <c r="B168" s="12"/>
      <c r="C168" s="12"/>
      <c r="D168" s="13"/>
      <c r="E168" s="12"/>
      <c r="F168" s="12"/>
      <c r="G168" s="13"/>
      <c r="H168" s="12"/>
      <c r="I168" s="13"/>
    </row>
    <row r="169" customFormat="false" ht="15" hidden="false" customHeight="false" outlineLevel="0" collapsed="false">
      <c r="A169" s="7"/>
      <c r="B169" s="6"/>
      <c r="C169" s="6"/>
      <c r="D169" s="7"/>
      <c r="E169" s="6"/>
      <c r="F169" s="6"/>
      <c r="G169" s="7"/>
      <c r="H169" s="6"/>
      <c r="I169" s="7"/>
    </row>
    <row r="170" customFormat="false" ht="15" hidden="false" customHeight="false" outlineLevel="0" collapsed="false">
      <c r="A170" s="13"/>
      <c r="B170" s="12"/>
      <c r="C170" s="12"/>
      <c r="D170" s="13"/>
      <c r="E170" s="12"/>
      <c r="F170" s="12"/>
      <c r="G170" s="13"/>
      <c r="H170" s="12"/>
      <c r="I170" s="13"/>
    </row>
    <row r="171" customFormat="false" ht="15" hidden="false" customHeight="false" outlineLevel="0" collapsed="false">
      <c r="A171" s="7"/>
      <c r="B171" s="6"/>
      <c r="C171" s="6"/>
      <c r="D171" s="7"/>
      <c r="E171" s="6"/>
      <c r="F171" s="6"/>
      <c r="G171" s="7"/>
      <c r="H171" s="6"/>
      <c r="I171" s="7"/>
    </row>
    <row r="172" customFormat="false" ht="15" hidden="false" customHeight="false" outlineLevel="0" collapsed="false">
      <c r="A172" s="13"/>
      <c r="B172" s="12"/>
      <c r="C172" s="12"/>
      <c r="D172" s="13"/>
      <c r="E172" s="12"/>
      <c r="F172" s="12"/>
      <c r="G172" s="13"/>
      <c r="H172" s="12"/>
      <c r="I172" s="13"/>
    </row>
    <row r="173" customFormat="false" ht="15" hidden="false" customHeight="false" outlineLevel="0" collapsed="false">
      <c r="A173" s="7"/>
      <c r="B173" s="6"/>
      <c r="C173" s="6"/>
      <c r="D173" s="7"/>
      <c r="E173" s="6"/>
      <c r="F173" s="6"/>
      <c r="G173" s="7"/>
      <c r="H173" s="6"/>
      <c r="I173" s="7"/>
    </row>
    <row r="174" customFormat="false" ht="15" hidden="false" customHeight="false" outlineLevel="0" collapsed="false">
      <c r="A174" s="13"/>
      <c r="B174" s="12"/>
      <c r="C174" s="12"/>
      <c r="D174" s="13"/>
      <c r="E174" s="12"/>
      <c r="F174" s="12"/>
      <c r="G174" s="13"/>
      <c r="H174" s="12"/>
      <c r="I174" s="13"/>
    </row>
    <row r="175" customFormat="false" ht="15" hidden="false" customHeight="false" outlineLevel="0" collapsed="false">
      <c r="A175" s="7"/>
      <c r="B175" s="6"/>
      <c r="C175" s="6"/>
      <c r="D175" s="7"/>
      <c r="E175" s="6"/>
      <c r="F175" s="6"/>
      <c r="G175" s="7"/>
      <c r="H175" s="6"/>
      <c r="I175" s="7"/>
    </row>
    <row r="176" customFormat="false" ht="15" hidden="false" customHeight="false" outlineLevel="0" collapsed="false">
      <c r="A176" s="13"/>
      <c r="B176" s="12"/>
      <c r="C176" s="12"/>
      <c r="D176" s="13"/>
      <c r="E176" s="12"/>
      <c r="F176" s="12"/>
      <c r="G176" s="13"/>
      <c r="H176" s="12"/>
      <c r="I176" s="13"/>
    </row>
    <row r="177" customFormat="false" ht="15" hidden="false" customHeight="false" outlineLevel="0" collapsed="false">
      <c r="A177" s="7"/>
      <c r="B177" s="6"/>
      <c r="C177" s="6"/>
      <c r="D177" s="7"/>
      <c r="E177" s="6"/>
      <c r="F177" s="6"/>
      <c r="G177" s="7"/>
      <c r="H177" s="6"/>
      <c r="I177" s="7"/>
    </row>
    <row r="178" customFormat="false" ht="15" hidden="false" customHeight="false" outlineLevel="0" collapsed="false">
      <c r="A178" s="13"/>
      <c r="B178" s="12"/>
      <c r="C178" s="12"/>
      <c r="D178" s="13"/>
      <c r="E178" s="12"/>
      <c r="F178" s="12"/>
      <c r="G178" s="13"/>
      <c r="H178" s="12"/>
      <c r="I178" s="13"/>
    </row>
    <row r="179" customFormat="false" ht="15" hidden="false" customHeight="false" outlineLevel="0" collapsed="false">
      <c r="A179" s="7"/>
      <c r="B179" s="6"/>
      <c r="C179" s="6"/>
      <c r="D179" s="7"/>
      <c r="E179" s="6"/>
      <c r="F179" s="6"/>
      <c r="G179" s="7"/>
      <c r="H179" s="6"/>
      <c r="I179" s="7"/>
    </row>
    <row r="180" customFormat="false" ht="15" hidden="false" customHeight="false" outlineLevel="0" collapsed="false">
      <c r="A180" s="13"/>
      <c r="B180" s="12"/>
      <c r="C180" s="12"/>
      <c r="D180" s="13"/>
      <c r="E180" s="12"/>
      <c r="F180" s="12"/>
      <c r="G180" s="13"/>
      <c r="H180" s="12"/>
      <c r="I180" s="13"/>
    </row>
    <row r="181" customFormat="false" ht="15" hidden="false" customHeight="false" outlineLevel="0" collapsed="false">
      <c r="A181" s="7"/>
      <c r="B181" s="6"/>
      <c r="C181" s="6"/>
      <c r="D181" s="7"/>
      <c r="E181" s="6"/>
      <c r="F181" s="6"/>
      <c r="G181" s="7"/>
      <c r="H181" s="6"/>
      <c r="I181" s="7"/>
    </row>
    <row r="182" customFormat="false" ht="15" hidden="false" customHeight="false" outlineLevel="0" collapsed="false">
      <c r="A182" s="13"/>
      <c r="B182" s="12"/>
      <c r="C182" s="12"/>
      <c r="D182" s="13"/>
      <c r="E182" s="12"/>
      <c r="F182" s="12"/>
      <c r="G182" s="13"/>
      <c r="H182" s="12"/>
      <c r="I182" s="13"/>
    </row>
    <row r="183" customFormat="false" ht="15" hidden="false" customHeight="false" outlineLevel="0" collapsed="false">
      <c r="A183" s="7"/>
      <c r="B183" s="6"/>
      <c r="C183" s="6"/>
      <c r="D183" s="7"/>
      <c r="E183" s="6"/>
      <c r="F183" s="6"/>
      <c r="G183" s="7"/>
      <c r="H183" s="6"/>
      <c r="I183" s="7"/>
    </row>
    <row r="184" customFormat="false" ht="15" hidden="false" customHeight="false" outlineLevel="0" collapsed="false">
      <c r="A184" s="13"/>
      <c r="B184" s="12"/>
      <c r="C184" s="12"/>
      <c r="D184" s="13"/>
      <c r="E184" s="12"/>
      <c r="F184" s="12"/>
      <c r="G184" s="13"/>
      <c r="H184" s="12"/>
      <c r="I184" s="13"/>
    </row>
    <row r="185" customFormat="false" ht="15" hidden="false" customHeight="false" outlineLevel="0" collapsed="false">
      <c r="A185" s="7"/>
      <c r="B185" s="6"/>
      <c r="C185" s="6"/>
      <c r="D185" s="7"/>
      <c r="E185" s="6"/>
      <c r="F185" s="6"/>
      <c r="G185" s="7"/>
      <c r="H185" s="6"/>
      <c r="I185" s="7"/>
    </row>
    <row r="186" customFormat="false" ht="15" hidden="false" customHeight="false" outlineLevel="0" collapsed="false">
      <c r="A186" s="13"/>
      <c r="B186" s="12"/>
      <c r="C186" s="12"/>
      <c r="D186" s="13"/>
      <c r="E186" s="12"/>
      <c r="F186" s="12"/>
      <c r="G186" s="13"/>
      <c r="H186" s="12"/>
      <c r="I186" s="13"/>
    </row>
    <row r="187" customFormat="false" ht="15" hidden="false" customHeight="false" outlineLevel="0" collapsed="false">
      <c r="A187" s="7"/>
      <c r="B187" s="6"/>
      <c r="C187" s="6"/>
      <c r="D187" s="7"/>
      <c r="E187" s="6"/>
      <c r="F187" s="6"/>
      <c r="G187" s="7"/>
      <c r="H187" s="6"/>
      <c r="I187" s="7"/>
    </row>
    <row r="188" customFormat="false" ht="15" hidden="false" customHeight="false" outlineLevel="0" collapsed="false">
      <c r="A188" s="13"/>
      <c r="B188" s="12"/>
      <c r="C188" s="12"/>
      <c r="D188" s="13"/>
      <c r="E188" s="12"/>
      <c r="F188" s="12"/>
      <c r="G188" s="13"/>
      <c r="H188" s="12"/>
      <c r="I188" s="13"/>
    </row>
    <row r="189" customFormat="false" ht="15" hidden="false" customHeight="false" outlineLevel="0" collapsed="false">
      <c r="A189" s="7"/>
      <c r="B189" s="6"/>
      <c r="C189" s="6"/>
      <c r="D189" s="7"/>
      <c r="E189" s="6"/>
      <c r="F189" s="6"/>
      <c r="G189" s="7"/>
      <c r="H189" s="6"/>
      <c r="I189" s="7"/>
    </row>
    <row r="190" customFormat="false" ht="15" hidden="false" customHeight="false" outlineLevel="0" collapsed="false">
      <c r="A190" s="13"/>
      <c r="B190" s="12"/>
      <c r="C190" s="12"/>
      <c r="D190" s="13"/>
      <c r="E190" s="12"/>
      <c r="F190" s="12"/>
      <c r="G190" s="13"/>
      <c r="H190" s="12"/>
      <c r="I190" s="13"/>
    </row>
    <row r="191" customFormat="false" ht="15" hidden="false" customHeight="false" outlineLevel="0" collapsed="false">
      <c r="A191" s="7"/>
      <c r="B191" s="6"/>
      <c r="C191" s="6"/>
      <c r="D191" s="7"/>
      <c r="E191" s="6"/>
      <c r="F191" s="6"/>
      <c r="G191" s="7"/>
      <c r="H191" s="6"/>
      <c r="I191" s="7"/>
    </row>
    <row r="192" customFormat="false" ht="15" hidden="false" customHeight="false" outlineLevel="0" collapsed="false">
      <c r="A192" s="13"/>
      <c r="B192" s="12"/>
      <c r="C192" s="12"/>
      <c r="D192" s="13"/>
      <c r="E192" s="12"/>
      <c r="F192" s="12"/>
      <c r="G192" s="13"/>
      <c r="H192" s="12"/>
      <c r="I192" s="13"/>
    </row>
    <row r="193" customFormat="false" ht="15" hidden="false" customHeight="false" outlineLevel="0" collapsed="false">
      <c r="A193" s="7"/>
      <c r="B193" s="6"/>
      <c r="C193" s="6"/>
      <c r="D193" s="7"/>
      <c r="E193" s="6"/>
      <c r="F193" s="6"/>
      <c r="G193" s="7"/>
      <c r="H193" s="6"/>
      <c r="I193" s="7"/>
    </row>
    <row r="194" customFormat="false" ht="15" hidden="false" customHeight="false" outlineLevel="0" collapsed="false">
      <c r="A194" s="13"/>
      <c r="B194" s="12"/>
      <c r="C194" s="12"/>
      <c r="D194" s="13"/>
      <c r="E194" s="12"/>
      <c r="F194" s="12"/>
      <c r="G194" s="13"/>
      <c r="H194" s="12"/>
      <c r="I194" s="13"/>
    </row>
    <row r="195" customFormat="false" ht="15" hidden="false" customHeight="false" outlineLevel="0" collapsed="false">
      <c r="A195" s="7"/>
      <c r="B195" s="6"/>
      <c r="C195" s="6"/>
      <c r="D195" s="7"/>
      <c r="E195" s="6"/>
      <c r="F195" s="6"/>
      <c r="G195" s="7"/>
      <c r="H195" s="6"/>
      <c r="I195" s="7"/>
    </row>
    <row r="196" customFormat="false" ht="15" hidden="false" customHeight="false" outlineLevel="0" collapsed="false">
      <c r="A196" s="13"/>
      <c r="B196" s="12"/>
      <c r="C196" s="12"/>
      <c r="D196" s="13"/>
      <c r="E196" s="12"/>
      <c r="F196" s="12"/>
      <c r="G196" s="13"/>
      <c r="H196" s="12"/>
      <c r="I196" s="13"/>
    </row>
    <row r="197" customFormat="false" ht="15" hidden="false" customHeight="false" outlineLevel="0" collapsed="false">
      <c r="A197" s="7"/>
      <c r="B197" s="6"/>
      <c r="C197" s="6"/>
      <c r="D197" s="7"/>
      <c r="E197" s="6"/>
      <c r="F197" s="6"/>
      <c r="G197" s="7"/>
      <c r="H197" s="6"/>
      <c r="I197" s="7"/>
    </row>
    <row r="198" customFormat="false" ht="15" hidden="false" customHeight="false" outlineLevel="0" collapsed="false">
      <c r="A198" s="13"/>
      <c r="B198" s="12"/>
      <c r="C198" s="12"/>
      <c r="D198" s="13"/>
      <c r="E198" s="12"/>
      <c r="F198" s="12"/>
      <c r="G198" s="13"/>
      <c r="H198" s="12"/>
      <c r="I198" s="13"/>
    </row>
    <row r="199" customFormat="false" ht="15" hidden="false" customHeight="false" outlineLevel="0" collapsed="false">
      <c r="A199" s="7"/>
      <c r="B199" s="6"/>
      <c r="C199" s="6"/>
      <c r="D199" s="7"/>
      <c r="E199" s="6"/>
      <c r="F199" s="6"/>
      <c r="G199" s="7"/>
      <c r="H199" s="6"/>
      <c r="I199" s="7"/>
    </row>
    <row r="200" customFormat="false" ht="15" hidden="false" customHeight="false" outlineLevel="0" collapsed="false">
      <c r="A200" s="13"/>
      <c r="B200" s="12"/>
      <c r="C200" s="12"/>
      <c r="D200" s="13"/>
      <c r="E200" s="12"/>
      <c r="F200" s="12"/>
      <c r="G200" s="13"/>
      <c r="H200" s="12"/>
      <c r="I200" s="13"/>
    </row>
    <row r="201" customFormat="false" ht="15" hidden="false" customHeight="false" outlineLevel="0" collapsed="false">
      <c r="A201" s="7"/>
      <c r="B201" s="6"/>
      <c r="C201" s="6"/>
      <c r="D201" s="7"/>
      <c r="E201" s="6"/>
      <c r="F201" s="6"/>
      <c r="G201" s="7"/>
      <c r="H201" s="6"/>
      <c r="I201" s="7"/>
    </row>
    <row r="202" customFormat="false" ht="15" hidden="false" customHeight="false" outlineLevel="0" collapsed="false">
      <c r="A202" s="13"/>
      <c r="B202" s="12"/>
      <c r="C202" s="12"/>
      <c r="D202" s="13"/>
      <c r="E202" s="12"/>
      <c r="F202" s="12"/>
      <c r="G202" s="13"/>
      <c r="H202" s="12"/>
      <c r="I202" s="13"/>
    </row>
    <row r="203" customFormat="false" ht="15" hidden="false" customHeight="false" outlineLevel="0" collapsed="false">
      <c r="A203" s="7"/>
      <c r="B203" s="6"/>
      <c r="C203" s="6"/>
      <c r="D203" s="7"/>
      <c r="E203" s="6"/>
      <c r="F203" s="6"/>
      <c r="G203" s="7"/>
      <c r="H203" s="6"/>
      <c r="I203" s="7"/>
    </row>
    <row r="204" customFormat="false" ht="15" hidden="false" customHeight="false" outlineLevel="0" collapsed="false">
      <c r="A204" s="13"/>
      <c r="B204" s="12"/>
      <c r="C204" s="12"/>
      <c r="D204" s="13"/>
      <c r="E204" s="12"/>
      <c r="F204" s="12"/>
      <c r="G204" s="13"/>
      <c r="H204" s="12"/>
      <c r="I204" s="13"/>
    </row>
    <row r="205" customFormat="false" ht="15" hidden="false" customHeight="false" outlineLevel="0" collapsed="false">
      <c r="A205" s="7"/>
      <c r="B205" s="6"/>
      <c r="C205" s="6"/>
      <c r="D205" s="7"/>
      <c r="E205" s="6"/>
      <c r="F205" s="6"/>
      <c r="G205" s="7"/>
      <c r="H205" s="6"/>
      <c r="I205" s="7"/>
    </row>
    <row r="206" customFormat="false" ht="15" hidden="false" customHeight="false" outlineLevel="0" collapsed="false">
      <c r="A206" s="13"/>
      <c r="B206" s="12"/>
      <c r="C206" s="12"/>
      <c r="D206" s="13"/>
      <c r="E206" s="12"/>
      <c r="F206" s="12"/>
      <c r="G206" s="13"/>
      <c r="H206" s="12"/>
      <c r="I206" s="13"/>
    </row>
    <row r="207" customFormat="false" ht="15" hidden="false" customHeight="false" outlineLevel="0" collapsed="false">
      <c r="A207" s="7"/>
      <c r="B207" s="6"/>
      <c r="C207" s="6"/>
      <c r="D207" s="7"/>
      <c r="E207" s="6"/>
      <c r="F207" s="6"/>
      <c r="G207" s="7"/>
      <c r="H207" s="6"/>
      <c r="I207" s="7"/>
    </row>
    <row r="208" customFormat="false" ht="15" hidden="false" customHeight="false" outlineLevel="0" collapsed="false">
      <c r="A208" s="13"/>
      <c r="B208" s="12"/>
      <c r="C208" s="12"/>
      <c r="D208" s="13"/>
      <c r="E208" s="12"/>
      <c r="F208" s="12"/>
      <c r="G208" s="13"/>
      <c r="H208" s="12"/>
      <c r="I208" s="13"/>
    </row>
    <row r="209" customFormat="false" ht="15" hidden="false" customHeight="false" outlineLevel="0" collapsed="false">
      <c r="A209" s="7"/>
      <c r="B209" s="6"/>
      <c r="C209" s="6"/>
      <c r="D209" s="7"/>
      <c r="E209" s="6"/>
      <c r="F209" s="6"/>
      <c r="G209" s="7"/>
      <c r="H209" s="6"/>
      <c r="I209" s="7"/>
    </row>
    <row r="210" customFormat="false" ht="15" hidden="false" customHeight="false" outlineLevel="0" collapsed="false">
      <c r="A210" s="13"/>
      <c r="B210" s="12"/>
      <c r="C210" s="12"/>
      <c r="D210" s="13"/>
      <c r="E210" s="12"/>
      <c r="F210" s="12"/>
      <c r="G210" s="13"/>
      <c r="H210" s="12"/>
      <c r="I210" s="13"/>
    </row>
    <row r="211" customFormat="false" ht="15" hidden="false" customHeight="false" outlineLevel="0" collapsed="false">
      <c r="A211" s="7"/>
      <c r="B211" s="6"/>
      <c r="C211" s="6"/>
      <c r="D211" s="7"/>
      <c r="E211" s="6"/>
      <c r="F211" s="6"/>
      <c r="G211" s="7"/>
      <c r="H211" s="6"/>
      <c r="I211" s="7"/>
    </row>
    <row r="212" customFormat="false" ht="15" hidden="false" customHeight="false" outlineLevel="0" collapsed="false">
      <c r="A212" s="13"/>
      <c r="B212" s="12"/>
      <c r="C212" s="12"/>
      <c r="D212" s="13"/>
      <c r="E212" s="12"/>
      <c r="F212" s="12"/>
      <c r="G212" s="13"/>
      <c r="H212" s="12"/>
      <c r="I212" s="13"/>
    </row>
  </sheetData>
  <mergeCells count="2">
    <mergeCell ref="A1:E1"/>
    <mergeCell ref="F1:I1"/>
  </mergeCells>
  <conditionalFormatting sqref="G3:G212">
    <cfRule type="cellIs" priority="2" operator="equal" aboveAverage="0" equalAverage="0" bottom="0" percent="0" rank="0" text="" dxfId="0">
      <formula>"Correct"</formula>
    </cfRule>
    <cfRule type="cellIs" priority="3" operator="equal" aboveAverage="0" equalAverage="0" bottom="0" percent="0" rank="0" text="" dxfId="1">
      <formula>"Underestimated"</formula>
    </cfRule>
    <cfRule type="cellIs" priority="4" operator="equal" aboveAverage="0" equalAverage="0" bottom="0" percent="0" rank="0" text="" dxfId="2">
      <formula>"Overestimated"</formula>
    </cfRule>
    <cfRule type="cellIs" priority="5" operator="equal" aboveAverage="0" equalAverage="0" bottom="0" percent="0" rank="0" text="" dxfId="3">
      <formula>"Wrong axis"</formula>
    </cfRule>
    <cfRule type="cellIs" priority="6" operator="equal" aboveAverage="0" equalAverage="0" bottom="0" percent="0" rank="0" text="" dxfId="4">
      <formula>"Surprising"</formula>
    </cfRule>
  </conditionalFormatting>
  <dataValidations count="4">
    <dataValidation allowBlank="true" errorStyle="stop" operator="between" showDropDown="false" showErrorMessage="false" showInputMessage="false" sqref="B3:B212" type="list">
      <formula1>"Daniel,Camila,Marco,Sarah,Elena"</formula1>
      <formula2>0</formula2>
    </dataValidation>
    <dataValidation allowBlank="true" errorStyle="stop" operator="between" showDropDown="false" showErrorMessage="false" showInputMessage="false" sqref="D3:D212" type="list">
      <formula1>"High,Medium,Low"</formula1>
      <formula2>0</formula2>
    </dataValidation>
    <dataValidation allowBlank="true" errorStyle="stop" operator="between" showDropDown="false" showErrorMessage="false" showInputMessage="false" sqref="G3:G212" type="list">
      <formula1>"Correct,Underestimated,Overestimated,Wrong axis,Surprising"</formula1>
      <formula2>0</formula2>
    </dataValidation>
    <dataValidation allowBlank="true" errorStyle="stop" operator="between" showDropDown="false" showErrorMessage="false" showInputMessage="false" sqref="I3:I212" type="list">
      <formula1>"Open,Validated,Updated"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I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44"/>
    <col collapsed="false" customWidth="true" hidden="false" outlineLevel="0" max="7" min="7" style="0" width="14"/>
    <col collapsed="false" customWidth="true" hidden="false" outlineLevel="0" max="8" min="8" style="0" width="44"/>
    <col collapsed="false" customWidth="true" hidden="false" outlineLevel="0" max="9" min="9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2" t="s">
        <v>133</v>
      </c>
      <c r="G1" s="2"/>
      <c r="H1" s="2"/>
      <c r="I1" s="2"/>
    </row>
    <row r="2" customFormat="false" ht="33.7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customFormat="false" ht="35.05" hidden="false" customHeight="false" outlineLevel="0" collapsed="false">
      <c r="A3" s="4" t="s">
        <v>11</v>
      </c>
      <c r="B3" s="5" t="s">
        <v>12</v>
      </c>
      <c r="C3" s="6" t="s">
        <v>13</v>
      </c>
      <c r="D3" s="7" t="s">
        <v>14</v>
      </c>
      <c r="E3" s="8" t="s">
        <v>15</v>
      </c>
      <c r="F3" s="6"/>
      <c r="G3" s="7"/>
      <c r="H3" s="6"/>
      <c r="I3" s="9" t="s">
        <v>134</v>
      </c>
    </row>
    <row r="4" customFormat="false" ht="35.05" hidden="false" customHeight="false" outlineLevel="0" collapsed="false">
      <c r="A4" s="10" t="s">
        <v>20</v>
      </c>
      <c r="B4" s="11" t="s">
        <v>12</v>
      </c>
      <c r="C4" s="12" t="s">
        <v>21</v>
      </c>
      <c r="D4" s="13" t="s">
        <v>14</v>
      </c>
      <c r="E4" s="14" t="s">
        <v>15</v>
      </c>
      <c r="F4" s="12"/>
      <c r="G4" s="13"/>
      <c r="H4" s="12"/>
      <c r="I4" s="15" t="s">
        <v>134</v>
      </c>
    </row>
    <row r="5" customFormat="false" ht="23.85" hidden="false" customHeight="false" outlineLevel="0" collapsed="false">
      <c r="A5" s="4" t="s">
        <v>26</v>
      </c>
      <c r="B5" s="5" t="s">
        <v>12</v>
      </c>
      <c r="C5" s="6" t="s">
        <v>27</v>
      </c>
      <c r="D5" s="7" t="s">
        <v>14</v>
      </c>
      <c r="E5" s="8" t="s">
        <v>15</v>
      </c>
      <c r="F5" s="6"/>
      <c r="G5" s="7"/>
      <c r="H5" s="6"/>
      <c r="I5" s="9" t="s">
        <v>134</v>
      </c>
    </row>
    <row r="6" customFormat="false" ht="23.85" hidden="false" customHeight="false" outlineLevel="0" collapsed="false">
      <c r="A6" s="10" t="s">
        <v>30</v>
      </c>
      <c r="B6" s="11" t="s">
        <v>12</v>
      </c>
      <c r="C6" s="12" t="s">
        <v>31</v>
      </c>
      <c r="D6" s="13" t="s">
        <v>32</v>
      </c>
      <c r="E6" s="14" t="s">
        <v>15</v>
      </c>
      <c r="F6" s="12"/>
      <c r="G6" s="13"/>
      <c r="H6" s="12"/>
      <c r="I6" s="15" t="s">
        <v>134</v>
      </c>
    </row>
    <row r="7" customFormat="false" ht="23.85" hidden="false" customHeight="false" outlineLevel="0" collapsed="false">
      <c r="A7" s="4" t="s">
        <v>36</v>
      </c>
      <c r="B7" s="5" t="s">
        <v>37</v>
      </c>
      <c r="C7" s="6" t="s">
        <v>38</v>
      </c>
      <c r="D7" s="7" t="s">
        <v>14</v>
      </c>
      <c r="E7" s="8" t="s">
        <v>15</v>
      </c>
      <c r="F7" s="6"/>
      <c r="G7" s="7"/>
      <c r="H7" s="6"/>
      <c r="I7" s="9" t="s">
        <v>134</v>
      </c>
    </row>
    <row r="8" customFormat="false" ht="23.85" hidden="false" customHeight="false" outlineLevel="0" collapsed="false">
      <c r="A8" s="10" t="s">
        <v>41</v>
      </c>
      <c r="B8" s="11" t="s">
        <v>37</v>
      </c>
      <c r="C8" s="12" t="s">
        <v>42</v>
      </c>
      <c r="D8" s="13" t="s">
        <v>32</v>
      </c>
      <c r="E8" s="14" t="s">
        <v>15</v>
      </c>
      <c r="F8" s="12"/>
      <c r="G8" s="13"/>
      <c r="H8" s="12"/>
      <c r="I8" s="15" t="s">
        <v>134</v>
      </c>
    </row>
    <row r="9" customFormat="false" ht="23.85" hidden="false" customHeight="false" outlineLevel="0" collapsed="false">
      <c r="A9" s="4" t="s">
        <v>45</v>
      </c>
      <c r="B9" s="5" t="s">
        <v>37</v>
      </c>
      <c r="C9" s="6" t="s">
        <v>46</v>
      </c>
      <c r="D9" s="7" t="s">
        <v>14</v>
      </c>
      <c r="E9" s="8" t="s">
        <v>15</v>
      </c>
      <c r="F9" s="6"/>
      <c r="G9" s="7"/>
      <c r="H9" s="6"/>
      <c r="I9" s="9" t="s">
        <v>134</v>
      </c>
    </row>
    <row r="10" customFormat="false" ht="23.85" hidden="false" customHeight="false" outlineLevel="0" collapsed="false">
      <c r="A10" s="10" t="s">
        <v>49</v>
      </c>
      <c r="B10" s="11" t="s">
        <v>37</v>
      </c>
      <c r="C10" s="12" t="s">
        <v>50</v>
      </c>
      <c r="D10" s="13" t="s">
        <v>14</v>
      </c>
      <c r="E10" s="14" t="s">
        <v>15</v>
      </c>
      <c r="F10" s="12"/>
      <c r="G10" s="13"/>
      <c r="H10" s="12"/>
      <c r="I10" s="15" t="s">
        <v>134</v>
      </c>
    </row>
    <row r="11" customFormat="false" ht="23.85" hidden="false" customHeight="false" outlineLevel="0" collapsed="false">
      <c r="A11" s="4" t="s">
        <v>53</v>
      </c>
      <c r="B11" s="5" t="s">
        <v>37</v>
      </c>
      <c r="C11" s="6" t="s">
        <v>54</v>
      </c>
      <c r="D11" s="7" t="s">
        <v>32</v>
      </c>
      <c r="E11" s="8" t="s">
        <v>15</v>
      </c>
      <c r="F11" s="6"/>
      <c r="G11" s="7"/>
      <c r="H11" s="6"/>
      <c r="I11" s="9" t="s">
        <v>134</v>
      </c>
    </row>
    <row r="12" customFormat="false" ht="23.85" hidden="false" customHeight="false" outlineLevel="0" collapsed="false">
      <c r="A12" s="10" t="s">
        <v>57</v>
      </c>
      <c r="B12" s="11" t="s">
        <v>58</v>
      </c>
      <c r="C12" s="12" t="s">
        <v>59</v>
      </c>
      <c r="D12" s="13" t="s">
        <v>14</v>
      </c>
      <c r="E12" s="14" t="s">
        <v>60</v>
      </c>
      <c r="F12" s="12"/>
      <c r="G12" s="13"/>
      <c r="H12" s="12"/>
      <c r="I12" s="15" t="s">
        <v>134</v>
      </c>
    </row>
    <row r="13" customFormat="false" ht="23.85" hidden="false" customHeight="false" outlineLevel="0" collapsed="false">
      <c r="A13" s="4" t="s">
        <v>63</v>
      </c>
      <c r="B13" s="5" t="s">
        <v>58</v>
      </c>
      <c r="C13" s="6" t="s">
        <v>64</v>
      </c>
      <c r="D13" s="7" t="s">
        <v>32</v>
      </c>
      <c r="E13" s="8" t="s">
        <v>60</v>
      </c>
      <c r="F13" s="6"/>
      <c r="G13" s="7"/>
      <c r="H13" s="6"/>
      <c r="I13" s="9" t="s">
        <v>134</v>
      </c>
    </row>
    <row r="14" customFormat="false" ht="23.85" hidden="false" customHeight="false" outlineLevel="0" collapsed="false">
      <c r="A14" s="10" t="s">
        <v>67</v>
      </c>
      <c r="B14" s="11" t="s">
        <v>58</v>
      </c>
      <c r="C14" s="12" t="s">
        <v>68</v>
      </c>
      <c r="D14" s="13" t="s">
        <v>14</v>
      </c>
      <c r="E14" s="14" t="s">
        <v>60</v>
      </c>
      <c r="F14" s="12"/>
      <c r="G14" s="13"/>
      <c r="H14" s="12"/>
      <c r="I14" s="15" t="s">
        <v>134</v>
      </c>
    </row>
    <row r="15" customFormat="false" ht="23.85" hidden="false" customHeight="false" outlineLevel="0" collapsed="false">
      <c r="A15" s="4" t="s">
        <v>71</v>
      </c>
      <c r="B15" s="5" t="s">
        <v>58</v>
      </c>
      <c r="C15" s="6" t="s">
        <v>72</v>
      </c>
      <c r="D15" s="7" t="s">
        <v>14</v>
      </c>
      <c r="E15" s="8" t="s">
        <v>60</v>
      </c>
      <c r="F15" s="6"/>
      <c r="G15" s="7"/>
      <c r="H15" s="6"/>
      <c r="I15" s="9" t="s">
        <v>134</v>
      </c>
    </row>
    <row r="16" customFormat="false" ht="23.85" hidden="false" customHeight="false" outlineLevel="0" collapsed="false">
      <c r="A16" s="10" t="s">
        <v>75</v>
      </c>
      <c r="B16" s="11" t="s">
        <v>58</v>
      </c>
      <c r="C16" s="12" t="s">
        <v>76</v>
      </c>
      <c r="D16" s="13" t="s">
        <v>32</v>
      </c>
      <c r="E16" s="14" t="s">
        <v>60</v>
      </c>
      <c r="F16" s="12"/>
      <c r="G16" s="13"/>
      <c r="H16" s="12"/>
      <c r="I16" s="15" t="s">
        <v>134</v>
      </c>
    </row>
    <row r="17" customFormat="false" ht="23.85" hidden="false" customHeight="false" outlineLevel="0" collapsed="false">
      <c r="A17" s="4" t="s">
        <v>79</v>
      </c>
      <c r="B17" s="5" t="s">
        <v>80</v>
      </c>
      <c r="C17" s="6" t="s">
        <v>81</v>
      </c>
      <c r="D17" s="7" t="s">
        <v>14</v>
      </c>
      <c r="E17" s="8" t="s">
        <v>60</v>
      </c>
      <c r="F17" s="6"/>
      <c r="G17" s="7"/>
      <c r="H17" s="6"/>
      <c r="I17" s="9" t="s">
        <v>134</v>
      </c>
    </row>
    <row r="18" customFormat="false" ht="23.85" hidden="false" customHeight="false" outlineLevel="0" collapsed="false">
      <c r="A18" s="10" t="s">
        <v>84</v>
      </c>
      <c r="B18" s="11" t="s">
        <v>80</v>
      </c>
      <c r="C18" s="12" t="s">
        <v>85</v>
      </c>
      <c r="D18" s="13" t="s">
        <v>32</v>
      </c>
      <c r="E18" s="14" t="s">
        <v>60</v>
      </c>
      <c r="F18" s="12"/>
      <c r="G18" s="13"/>
      <c r="H18" s="12"/>
      <c r="I18" s="15" t="s">
        <v>134</v>
      </c>
    </row>
    <row r="19" customFormat="false" ht="23.85" hidden="false" customHeight="false" outlineLevel="0" collapsed="false">
      <c r="A19" s="4" t="s">
        <v>88</v>
      </c>
      <c r="B19" s="5" t="s">
        <v>80</v>
      </c>
      <c r="C19" s="6" t="s">
        <v>89</v>
      </c>
      <c r="D19" s="7" t="s">
        <v>14</v>
      </c>
      <c r="E19" s="8" t="s">
        <v>60</v>
      </c>
      <c r="F19" s="6"/>
      <c r="G19" s="7"/>
      <c r="H19" s="6"/>
      <c r="I19" s="9" t="s">
        <v>134</v>
      </c>
    </row>
    <row r="20" customFormat="false" ht="23.85" hidden="false" customHeight="false" outlineLevel="0" collapsed="false">
      <c r="A20" s="10" t="s">
        <v>92</v>
      </c>
      <c r="B20" s="11" t="s">
        <v>80</v>
      </c>
      <c r="C20" s="12" t="s">
        <v>93</v>
      </c>
      <c r="D20" s="13" t="s">
        <v>32</v>
      </c>
      <c r="E20" s="14" t="s">
        <v>60</v>
      </c>
      <c r="F20" s="12"/>
      <c r="G20" s="13"/>
      <c r="H20" s="12"/>
      <c r="I20" s="15" t="s">
        <v>134</v>
      </c>
    </row>
    <row r="21" customFormat="false" ht="23.85" hidden="false" customHeight="false" outlineLevel="0" collapsed="false">
      <c r="A21" s="4" t="s">
        <v>96</v>
      </c>
      <c r="B21" s="5" t="s">
        <v>80</v>
      </c>
      <c r="C21" s="6" t="s">
        <v>97</v>
      </c>
      <c r="D21" s="7" t="s">
        <v>32</v>
      </c>
      <c r="E21" s="8" t="s">
        <v>60</v>
      </c>
      <c r="F21" s="6"/>
      <c r="G21" s="7"/>
      <c r="H21" s="6"/>
      <c r="I21" s="9" t="s">
        <v>134</v>
      </c>
    </row>
    <row r="22" customFormat="false" ht="23.85" hidden="false" customHeight="false" outlineLevel="0" collapsed="false">
      <c r="A22" s="10" t="s">
        <v>100</v>
      </c>
      <c r="B22" s="11" t="s">
        <v>101</v>
      </c>
      <c r="C22" s="12" t="s">
        <v>102</v>
      </c>
      <c r="D22" s="13" t="s">
        <v>14</v>
      </c>
      <c r="E22" s="14" t="s">
        <v>15</v>
      </c>
      <c r="F22" s="12"/>
      <c r="G22" s="13"/>
      <c r="H22" s="12"/>
      <c r="I22" s="15" t="s">
        <v>134</v>
      </c>
    </row>
    <row r="23" customFormat="false" ht="23.85" hidden="false" customHeight="false" outlineLevel="0" collapsed="false">
      <c r="A23" s="4" t="s">
        <v>105</v>
      </c>
      <c r="B23" s="5" t="s">
        <v>101</v>
      </c>
      <c r="C23" s="6" t="s">
        <v>106</v>
      </c>
      <c r="D23" s="7" t="s">
        <v>14</v>
      </c>
      <c r="E23" s="8" t="s">
        <v>15</v>
      </c>
      <c r="F23" s="6"/>
      <c r="G23" s="7"/>
      <c r="H23" s="6"/>
      <c r="I23" s="9" t="s">
        <v>134</v>
      </c>
    </row>
    <row r="24" customFormat="false" ht="23.85" hidden="false" customHeight="false" outlineLevel="0" collapsed="false">
      <c r="A24" s="10" t="s">
        <v>109</v>
      </c>
      <c r="B24" s="11" t="s">
        <v>101</v>
      </c>
      <c r="C24" s="12" t="s">
        <v>110</v>
      </c>
      <c r="D24" s="13" t="s">
        <v>32</v>
      </c>
      <c r="E24" s="14" t="s">
        <v>15</v>
      </c>
      <c r="F24" s="12"/>
      <c r="G24" s="13"/>
      <c r="H24" s="12"/>
      <c r="I24" s="15" t="s">
        <v>134</v>
      </c>
    </row>
    <row r="25" customFormat="false" ht="23.85" hidden="false" customHeight="false" outlineLevel="0" collapsed="false">
      <c r="A25" s="4" t="s">
        <v>113</v>
      </c>
      <c r="B25" s="5" t="s">
        <v>101</v>
      </c>
      <c r="C25" s="6" t="s">
        <v>114</v>
      </c>
      <c r="D25" s="7" t="s">
        <v>32</v>
      </c>
      <c r="E25" s="8" t="s">
        <v>15</v>
      </c>
      <c r="F25" s="6"/>
      <c r="G25" s="7"/>
      <c r="H25" s="6"/>
      <c r="I25" s="9" t="s">
        <v>134</v>
      </c>
    </row>
    <row r="26" customFormat="false" ht="23.85" hidden="false" customHeight="false" outlineLevel="0" collapsed="false">
      <c r="A26" s="10" t="s">
        <v>118</v>
      </c>
      <c r="B26" s="11" t="s">
        <v>101</v>
      </c>
      <c r="C26" s="12" t="s">
        <v>119</v>
      </c>
      <c r="D26" s="13" t="s">
        <v>14</v>
      </c>
      <c r="E26" s="14" t="s">
        <v>15</v>
      </c>
      <c r="F26" s="12"/>
      <c r="G26" s="13"/>
      <c r="H26" s="12"/>
      <c r="I26" s="15" t="s">
        <v>134</v>
      </c>
    </row>
    <row r="27" customFormat="false" ht="15" hidden="false" customHeight="false" outlineLevel="0" collapsed="false">
      <c r="A27" s="7"/>
      <c r="B27" s="6"/>
      <c r="C27" s="6"/>
      <c r="D27" s="7"/>
      <c r="E27" s="6"/>
      <c r="F27" s="6"/>
      <c r="G27" s="7"/>
      <c r="H27" s="6"/>
      <c r="I27" s="7"/>
    </row>
    <row r="28" customFormat="false" ht="15" hidden="false" customHeight="false" outlineLevel="0" collapsed="false">
      <c r="A28" s="13"/>
      <c r="B28" s="12"/>
      <c r="C28" s="12"/>
      <c r="D28" s="13"/>
      <c r="E28" s="12"/>
      <c r="F28" s="12"/>
      <c r="G28" s="13"/>
      <c r="H28" s="12"/>
      <c r="I28" s="13"/>
    </row>
    <row r="29" customFormat="false" ht="15" hidden="false" customHeight="false" outlineLevel="0" collapsed="false">
      <c r="A29" s="7"/>
      <c r="B29" s="6"/>
      <c r="C29" s="6"/>
      <c r="D29" s="7"/>
      <c r="E29" s="6"/>
      <c r="F29" s="6"/>
      <c r="G29" s="7"/>
      <c r="H29" s="6"/>
      <c r="I29" s="7"/>
    </row>
    <row r="30" customFormat="false" ht="15" hidden="false" customHeight="false" outlineLevel="0" collapsed="false">
      <c r="A30" s="13"/>
      <c r="B30" s="12"/>
      <c r="C30" s="12"/>
      <c r="D30" s="13"/>
      <c r="E30" s="12"/>
      <c r="F30" s="12"/>
      <c r="G30" s="13"/>
      <c r="H30" s="12"/>
      <c r="I30" s="13"/>
    </row>
    <row r="31" customFormat="false" ht="15" hidden="false" customHeight="false" outlineLevel="0" collapsed="false">
      <c r="A31" s="7"/>
      <c r="B31" s="6"/>
      <c r="C31" s="6"/>
      <c r="D31" s="7"/>
      <c r="E31" s="6"/>
      <c r="F31" s="6"/>
      <c r="G31" s="7"/>
      <c r="H31" s="6"/>
      <c r="I31" s="7"/>
    </row>
    <row r="32" customFormat="false" ht="15" hidden="false" customHeight="false" outlineLevel="0" collapsed="false">
      <c r="A32" s="13"/>
      <c r="B32" s="12"/>
      <c r="C32" s="12"/>
      <c r="D32" s="13"/>
      <c r="E32" s="12"/>
      <c r="F32" s="12"/>
      <c r="G32" s="13"/>
      <c r="H32" s="12"/>
      <c r="I32" s="13"/>
    </row>
    <row r="33" customFormat="false" ht="15" hidden="false" customHeight="false" outlineLevel="0" collapsed="false">
      <c r="A33" s="7"/>
      <c r="B33" s="6"/>
      <c r="C33" s="6"/>
      <c r="D33" s="7"/>
      <c r="E33" s="6"/>
      <c r="F33" s="6"/>
      <c r="G33" s="7"/>
      <c r="H33" s="6"/>
      <c r="I33" s="7"/>
    </row>
    <row r="34" customFormat="false" ht="15" hidden="false" customHeight="false" outlineLevel="0" collapsed="false">
      <c r="A34" s="13"/>
      <c r="B34" s="12"/>
      <c r="C34" s="12"/>
      <c r="D34" s="13"/>
      <c r="E34" s="12"/>
      <c r="F34" s="12"/>
      <c r="G34" s="13"/>
      <c r="H34" s="12"/>
      <c r="I34" s="13"/>
    </row>
    <row r="35" customFormat="false" ht="15" hidden="false" customHeight="false" outlineLevel="0" collapsed="false">
      <c r="A35" s="7"/>
      <c r="B35" s="6"/>
      <c r="C35" s="6"/>
      <c r="D35" s="7"/>
      <c r="E35" s="6"/>
      <c r="F35" s="6"/>
      <c r="G35" s="7"/>
      <c r="H35" s="6"/>
      <c r="I35" s="7"/>
    </row>
    <row r="36" customFormat="false" ht="15" hidden="false" customHeight="false" outlineLevel="0" collapsed="false">
      <c r="A36" s="13"/>
      <c r="B36" s="12"/>
      <c r="C36" s="12"/>
      <c r="D36" s="13"/>
      <c r="E36" s="12"/>
      <c r="F36" s="12"/>
      <c r="G36" s="13"/>
      <c r="H36" s="12"/>
      <c r="I36" s="13"/>
    </row>
    <row r="37" customFormat="false" ht="15" hidden="false" customHeight="false" outlineLevel="0" collapsed="false">
      <c r="A37" s="7"/>
      <c r="B37" s="6"/>
      <c r="C37" s="6"/>
      <c r="D37" s="7"/>
      <c r="E37" s="6"/>
      <c r="F37" s="6"/>
      <c r="G37" s="7"/>
      <c r="H37" s="6"/>
      <c r="I37" s="7"/>
    </row>
    <row r="38" customFormat="false" ht="15" hidden="false" customHeight="false" outlineLevel="0" collapsed="false">
      <c r="A38" s="13"/>
      <c r="B38" s="12"/>
      <c r="C38" s="12"/>
      <c r="D38" s="13"/>
      <c r="E38" s="12"/>
      <c r="F38" s="12"/>
      <c r="G38" s="13"/>
      <c r="H38" s="12"/>
      <c r="I38" s="13"/>
    </row>
    <row r="39" customFormat="false" ht="15" hidden="false" customHeight="false" outlineLevel="0" collapsed="false">
      <c r="A39" s="7"/>
      <c r="B39" s="6"/>
      <c r="C39" s="6"/>
      <c r="D39" s="7"/>
      <c r="E39" s="6"/>
      <c r="F39" s="6"/>
      <c r="G39" s="7"/>
      <c r="H39" s="6"/>
      <c r="I39" s="7"/>
    </row>
    <row r="40" customFormat="false" ht="15" hidden="false" customHeight="false" outlineLevel="0" collapsed="false">
      <c r="A40" s="13"/>
      <c r="B40" s="12"/>
      <c r="C40" s="12"/>
      <c r="D40" s="13"/>
      <c r="E40" s="12"/>
      <c r="F40" s="12"/>
      <c r="G40" s="13"/>
      <c r="H40" s="12"/>
      <c r="I40" s="13"/>
    </row>
    <row r="41" customFormat="false" ht="15" hidden="false" customHeight="false" outlineLevel="0" collapsed="false">
      <c r="A41" s="7"/>
      <c r="B41" s="6"/>
      <c r="C41" s="6"/>
      <c r="D41" s="7"/>
      <c r="E41" s="6"/>
      <c r="F41" s="6"/>
      <c r="G41" s="7"/>
      <c r="H41" s="6"/>
      <c r="I41" s="7"/>
    </row>
    <row r="42" customFormat="false" ht="15" hidden="false" customHeight="false" outlineLevel="0" collapsed="false">
      <c r="A42" s="13"/>
      <c r="B42" s="12"/>
      <c r="C42" s="12"/>
      <c r="D42" s="13"/>
      <c r="E42" s="12"/>
      <c r="F42" s="12"/>
      <c r="G42" s="13"/>
      <c r="H42" s="12"/>
      <c r="I42" s="13"/>
    </row>
    <row r="43" customFormat="false" ht="15" hidden="false" customHeight="false" outlineLevel="0" collapsed="false">
      <c r="A43" s="7"/>
      <c r="B43" s="6"/>
      <c r="C43" s="6"/>
      <c r="D43" s="7"/>
      <c r="E43" s="6"/>
      <c r="F43" s="6"/>
      <c r="G43" s="7"/>
      <c r="H43" s="6"/>
      <c r="I43" s="7"/>
    </row>
    <row r="44" customFormat="false" ht="15" hidden="false" customHeight="false" outlineLevel="0" collapsed="false">
      <c r="A44" s="13"/>
      <c r="B44" s="12"/>
      <c r="C44" s="12"/>
      <c r="D44" s="13"/>
      <c r="E44" s="12"/>
      <c r="F44" s="12"/>
      <c r="G44" s="13"/>
      <c r="H44" s="12"/>
      <c r="I44" s="13"/>
    </row>
    <row r="45" customFormat="false" ht="15" hidden="false" customHeight="false" outlineLevel="0" collapsed="false">
      <c r="A45" s="7"/>
      <c r="B45" s="6"/>
      <c r="C45" s="6"/>
      <c r="D45" s="7"/>
      <c r="E45" s="6"/>
      <c r="F45" s="6"/>
      <c r="G45" s="7"/>
      <c r="H45" s="6"/>
      <c r="I45" s="7"/>
    </row>
    <row r="46" customFormat="false" ht="15" hidden="false" customHeight="false" outlineLevel="0" collapsed="false">
      <c r="A46" s="13"/>
      <c r="B46" s="12"/>
      <c r="C46" s="12"/>
      <c r="D46" s="13"/>
      <c r="E46" s="12"/>
      <c r="F46" s="12"/>
      <c r="G46" s="13"/>
      <c r="H46" s="12"/>
      <c r="I46" s="13"/>
    </row>
    <row r="47" customFormat="false" ht="15" hidden="false" customHeight="false" outlineLevel="0" collapsed="false">
      <c r="A47" s="7"/>
      <c r="B47" s="6"/>
      <c r="C47" s="6"/>
      <c r="D47" s="7"/>
      <c r="E47" s="6"/>
      <c r="F47" s="6"/>
      <c r="G47" s="7"/>
      <c r="H47" s="6"/>
      <c r="I47" s="7"/>
    </row>
    <row r="48" customFormat="false" ht="15" hidden="false" customHeight="false" outlineLevel="0" collapsed="false">
      <c r="A48" s="13"/>
      <c r="B48" s="12"/>
      <c r="C48" s="12"/>
      <c r="D48" s="13"/>
      <c r="E48" s="12"/>
      <c r="F48" s="12"/>
      <c r="G48" s="13"/>
      <c r="H48" s="12"/>
      <c r="I48" s="13"/>
    </row>
    <row r="49" customFormat="false" ht="15" hidden="false" customHeight="false" outlineLevel="0" collapsed="false">
      <c r="A49" s="7"/>
      <c r="B49" s="6"/>
      <c r="C49" s="6"/>
      <c r="D49" s="7"/>
      <c r="E49" s="6"/>
      <c r="F49" s="6"/>
      <c r="G49" s="7"/>
      <c r="H49" s="6"/>
      <c r="I49" s="7"/>
    </row>
    <row r="50" customFormat="false" ht="15" hidden="false" customHeight="false" outlineLevel="0" collapsed="false">
      <c r="A50" s="13"/>
      <c r="B50" s="12"/>
      <c r="C50" s="12"/>
      <c r="D50" s="13"/>
      <c r="E50" s="12"/>
      <c r="F50" s="12"/>
      <c r="G50" s="13"/>
      <c r="H50" s="12"/>
      <c r="I50" s="13"/>
    </row>
    <row r="51" customFormat="false" ht="15" hidden="false" customHeight="false" outlineLevel="0" collapsed="false">
      <c r="A51" s="7"/>
      <c r="B51" s="6"/>
      <c r="C51" s="6"/>
      <c r="D51" s="7"/>
      <c r="E51" s="6"/>
      <c r="F51" s="6"/>
      <c r="G51" s="7"/>
      <c r="H51" s="6"/>
      <c r="I51" s="7"/>
    </row>
    <row r="52" customFormat="false" ht="15" hidden="false" customHeight="false" outlineLevel="0" collapsed="false">
      <c r="A52" s="13"/>
      <c r="B52" s="12"/>
      <c r="C52" s="12"/>
      <c r="D52" s="13"/>
      <c r="E52" s="12"/>
      <c r="F52" s="12"/>
      <c r="G52" s="13"/>
      <c r="H52" s="12"/>
      <c r="I52" s="13"/>
    </row>
    <row r="53" customFormat="false" ht="15" hidden="false" customHeight="false" outlineLevel="0" collapsed="false">
      <c r="A53" s="7"/>
      <c r="B53" s="6"/>
      <c r="C53" s="6"/>
      <c r="D53" s="7"/>
      <c r="E53" s="6"/>
      <c r="F53" s="6"/>
      <c r="G53" s="7"/>
      <c r="H53" s="6"/>
      <c r="I53" s="7"/>
    </row>
    <row r="54" customFormat="false" ht="15" hidden="false" customHeight="false" outlineLevel="0" collapsed="false">
      <c r="A54" s="13"/>
      <c r="B54" s="12"/>
      <c r="C54" s="12"/>
      <c r="D54" s="13"/>
      <c r="E54" s="12"/>
      <c r="F54" s="12"/>
      <c r="G54" s="13"/>
      <c r="H54" s="12"/>
      <c r="I54" s="13"/>
    </row>
    <row r="55" customFormat="false" ht="15" hidden="false" customHeight="false" outlineLevel="0" collapsed="false">
      <c r="A55" s="7"/>
      <c r="B55" s="6"/>
      <c r="C55" s="6"/>
      <c r="D55" s="7"/>
      <c r="E55" s="6"/>
      <c r="F55" s="6"/>
      <c r="G55" s="7"/>
      <c r="H55" s="6"/>
      <c r="I55" s="7"/>
    </row>
    <row r="56" customFormat="false" ht="15" hidden="false" customHeight="false" outlineLevel="0" collapsed="false">
      <c r="A56" s="13"/>
      <c r="B56" s="12"/>
      <c r="C56" s="12"/>
      <c r="D56" s="13"/>
      <c r="E56" s="12"/>
      <c r="F56" s="12"/>
      <c r="G56" s="13"/>
      <c r="H56" s="12"/>
      <c r="I56" s="13"/>
    </row>
    <row r="57" customFormat="false" ht="15" hidden="false" customHeight="false" outlineLevel="0" collapsed="false">
      <c r="A57" s="7"/>
      <c r="B57" s="6"/>
      <c r="C57" s="6"/>
      <c r="D57" s="7"/>
      <c r="E57" s="6"/>
      <c r="F57" s="6"/>
      <c r="G57" s="7"/>
      <c r="H57" s="6"/>
      <c r="I57" s="7"/>
    </row>
    <row r="58" customFormat="false" ht="15" hidden="false" customHeight="false" outlineLevel="0" collapsed="false">
      <c r="A58" s="13"/>
      <c r="B58" s="12"/>
      <c r="C58" s="12"/>
      <c r="D58" s="13"/>
      <c r="E58" s="12"/>
      <c r="F58" s="12"/>
      <c r="G58" s="13"/>
      <c r="H58" s="12"/>
      <c r="I58" s="13"/>
    </row>
    <row r="59" customFormat="false" ht="15" hidden="false" customHeight="false" outlineLevel="0" collapsed="false">
      <c r="A59" s="7"/>
      <c r="B59" s="6"/>
      <c r="C59" s="6"/>
      <c r="D59" s="7"/>
      <c r="E59" s="6"/>
      <c r="F59" s="6"/>
      <c r="G59" s="7"/>
      <c r="H59" s="6"/>
      <c r="I59" s="7"/>
    </row>
    <row r="60" customFormat="false" ht="15" hidden="false" customHeight="false" outlineLevel="0" collapsed="false">
      <c r="A60" s="13"/>
      <c r="B60" s="12"/>
      <c r="C60" s="12"/>
      <c r="D60" s="13"/>
      <c r="E60" s="12"/>
      <c r="F60" s="12"/>
      <c r="G60" s="13"/>
      <c r="H60" s="12"/>
      <c r="I60" s="13"/>
    </row>
    <row r="61" customFormat="false" ht="15" hidden="false" customHeight="false" outlineLevel="0" collapsed="false">
      <c r="A61" s="7"/>
      <c r="B61" s="6"/>
      <c r="C61" s="6"/>
      <c r="D61" s="7"/>
      <c r="E61" s="6"/>
      <c r="F61" s="6"/>
      <c r="G61" s="7"/>
      <c r="H61" s="6"/>
      <c r="I61" s="7"/>
    </row>
    <row r="62" customFormat="false" ht="15" hidden="false" customHeight="false" outlineLevel="0" collapsed="false">
      <c r="A62" s="13"/>
      <c r="B62" s="12"/>
      <c r="C62" s="12"/>
      <c r="D62" s="13"/>
      <c r="E62" s="12"/>
      <c r="F62" s="12"/>
      <c r="G62" s="13"/>
      <c r="H62" s="12"/>
      <c r="I62" s="13"/>
    </row>
    <row r="63" customFormat="false" ht="15" hidden="false" customHeight="false" outlineLevel="0" collapsed="false">
      <c r="A63" s="7"/>
      <c r="B63" s="6"/>
      <c r="C63" s="6"/>
      <c r="D63" s="7"/>
      <c r="E63" s="6"/>
      <c r="F63" s="6"/>
      <c r="G63" s="7"/>
      <c r="H63" s="6"/>
      <c r="I63" s="7"/>
    </row>
    <row r="64" customFormat="false" ht="15" hidden="false" customHeight="false" outlineLevel="0" collapsed="false">
      <c r="A64" s="13"/>
      <c r="B64" s="12"/>
      <c r="C64" s="12"/>
      <c r="D64" s="13"/>
      <c r="E64" s="12"/>
      <c r="F64" s="12"/>
      <c r="G64" s="13"/>
      <c r="H64" s="12"/>
      <c r="I64" s="13"/>
    </row>
    <row r="65" customFormat="false" ht="15" hidden="false" customHeight="false" outlineLevel="0" collapsed="false">
      <c r="A65" s="7"/>
      <c r="B65" s="6"/>
      <c r="C65" s="6"/>
      <c r="D65" s="7"/>
      <c r="E65" s="6"/>
      <c r="F65" s="6"/>
      <c r="G65" s="7"/>
      <c r="H65" s="6"/>
      <c r="I65" s="7"/>
    </row>
    <row r="66" customFormat="false" ht="15" hidden="false" customHeight="false" outlineLevel="0" collapsed="false">
      <c r="A66" s="13"/>
      <c r="B66" s="12"/>
      <c r="C66" s="12"/>
      <c r="D66" s="13"/>
      <c r="E66" s="12"/>
      <c r="F66" s="12"/>
      <c r="G66" s="13"/>
      <c r="H66" s="12"/>
      <c r="I66" s="13"/>
    </row>
    <row r="67" customFormat="false" ht="15" hidden="false" customHeight="false" outlineLevel="0" collapsed="false">
      <c r="A67" s="7"/>
      <c r="B67" s="6"/>
      <c r="C67" s="6"/>
      <c r="D67" s="7"/>
      <c r="E67" s="6"/>
      <c r="F67" s="6"/>
      <c r="G67" s="7"/>
      <c r="H67" s="6"/>
      <c r="I67" s="7"/>
    </row>
    <row r="68" customFormat="false" ht="15" hidden="false" customHeight="false" outlineLevel="0" collapsed="false">
      <c r="A68" s="13"/>
      <c r="B68" s="12"/>
      <c r="C68" s="12"/>
      <c r="D68" s="13"/>
      <c r="E68" s="12"/>
      <c r="F68" s="12"/>
      <c r="G68" s="13"/>
      <c r="H68" s="12"/>
      <c r="I68" s="13"/>
    </row>
    <row r="69" customFormat="false" ht="15" hidden="false" customHeight="false" outlineLevel="0" collapsed="false">
      <c r="A69" s="7"/>
      <c r="B69" s="6"/>
      <c r="C69" s="6"/>
      <c r="D69" s="7"/>
      <c r="E69" s="6"/>
      <c r="F69" s="6"/>
      <c r="G69" s="7"/>
      <c r="H69" s="6"/>
      <c r="I69" s="7"/>
    </row>
    <row r="70" customFormat="false" ht="15" hidden="false" customHeight="false" outlineLevel="0" collapsed="false">
      <c r="A70" s="13"/>
      <c r="B70" s="12"/>
      <c r="C70" s="12"/>
      <c r="D70" s="13"/>
      <c r="E70" s="12"/>
      <c r="F70" s="12"/>
      <c r="G70" s="13"/>
      <c r="H70" s="12"/>
      <c r="I70" s="13"/>
    </row>
    <row r="71" customFormat="false" ht="15" hidden="false" customHeight="false" outlineLevel="0" collapsed="false">
      <c r="A71" s="7"/>
      <c r="B71" s="6"/>
      <c r="C71" s="6"/>
      <c r="D71" s="7"/>
      <c r="E71" s="6"/>
      <c r="F71" s="6"/>
      <c r="G71" s="7"/>
      <c r="H71" s="6"/>
      <c r="I71" s="7"/>
    </row>
    <row r="72" customFormat="false" ht="15" hidden="false" customHeight="false" outlineLevel="0" collapsed="false">
      <c r="A72" s="13"/>
      <c r="B72" s="12"/>
      <c r="C72" s="12"/>
      <c r="D72" s="13"/>
      <c r="E72" s="12"/>
      <c r="F72" s="12"/>
      <c r="G72" s="13"/>
      <c r="H72" s="12"/>
      <c r="I72" s="13"/>
    </row>
    <row r="73" customFormat="false" ht="15" hidden="false" customHeight="false" outlineLevel="0" collapsed="false">
      <c r="A73" s="7"/>
      <c r="B73" s="6"/>
      <c r="C73" s="6"/>
      <c r="D73" s="7"/>
      <c r="E73" s="6"/>
      <c r="F73" s="6"/>
      <c r="G73" s="7"/>
      <c r="H73" s="6"/>
      <c r="I73" s="7"/>
    </row>
    <row r="74" customFormat="false" ht="15" hidden="false" customHeight="false" outlineLevel="0" collapsed="false">
      <c r="A74" s="13"/>
      <c r="B74" s="12"/>
      <c r="C74" s="12"/>
      <c r="D74" s="13"/>
      <c r="E74" s="12"/>
      <c r="F74" s="12"/>
      <c r="G74" s="13"/>
      <c r="H74" s="12"/>
      <c r="I74" s="13"/>
    </row>
    <row r="75" customFormat="false" ht="15" hidden="false" customHeight="false" outlineLevel="0" collapsed="false">
      <c r="A75" s="7"/>
      <c r="B75" s="6"/>
      <c r="C75" s="6"/>
      <c r="D75" s="7"/>
      <c r="E75" s="6"/>
      <c r="F75" s="6"/>
      <c r="G75" s="7"/>
      <c r="H75" s="6"/>
      <c r="I75" s="7"/>
    </row>
    <row r="76" customFormat="false" ht="15" hidden="false" customHeight="false" outlineLevel="0" collapsed="false">
      <c r="A76" s="13"/>
      <c r="B76" s="12"/>
      <c r="C76" s="12"/>
      <c r="D76" s="13"/>
      <c r="E76" s="12"/>
      <c r="F76" s="12"/>
      <c r="G76" s="13"/>
      <c r="H76" s="12"/>
      <c r="I76" s="13"/>
    </row>
    <row r="77" customFormat="false" ht="15" hidden="false" customHeight="false" outlineLevel="0" collapsed="false">
      <c r="A77" s="7"/>
      <c r="B77" s="6"/>
      <c r="C77" s="6"/>
      <c r="D77" s="7"/>
      <c r="E77" s="6"/>
      <c r="F77" s="6"/>
      <c r="G77" s="7"/>
      <c r="H77" s="6"/>
      <c r="I77" s="7"/>
    </row>
    <row r="78" customFormat="false" ht="15" hidden="false" customHeight="false" outlineLevel="0" collapsed="false">
      <c r="A78" s="13"/>
      <c r="B78" s="12"/>
      <c r="C78" s="12"/>
      <c r="D78" s="13"/>
      <c r="E78" s="12"/>
      <c r="F78" s="12"/>
      <c r="G78" s="13"/>
      <c r="H78" s="12"/>
      <c r="I78" s="13"/>
    </row>
    <row r="79" customFormat="false" ht="15" hidden="false" customHeight="false" outlineLevel="0" collapsed="false">
      <c r="A79" s="7"/>
      <c r="B79" s="6"/>
      <c r="C79" s="6"/>
      <c r="D79" s="7"/>
      <c r="E79" s="6"/>
      <c r="F79" s="6"/>
      <c r="G79" s="7"/>
      <c r="H79" s="6"/>
      <c r="I79" s="7"/>
    </row>
    <row r="80" customFormat="false" ht="15" hidden="false" customHeight="false" outlineLevel="0" collapsed="false">
      <c r="A80" s="13"/>
      <c r="B80" s="12"/>
      <c r="C80" s="12"/>
      <c r="D80" s="13"/>
      <c r="E80" s="12"/>
      <c r="F80" s="12"/>
      <c r="G80" s="13"/>
      <c r="H80" s="12"/>
      <c r="I80" s="13"/>
    </row>
    <row r="81" customFormat="false" ht="15" hidden="false" customHeight="false" outlineLevel="0" collapsed="false">
      <c r="A81" s="7"/>
      <c r="B81" s="6"/>
      <c r="C81" s="6"/>
      <c r="D81" s="7"/>
      <c r="E81" s="6"/>
      <c r="F81" s="6"/>
      <c r="G81" s="7"/>
      <c r="H81" s="6"/>
      <c r="I81" s="7"/>
    </row>
    <row r="82" customFormat="false" ht="15" hidden="false" customHeight="false" outlineLevel="0" collapsed="false">
      <c r="A82" s="13"/>
      <c r="B82" s="12"/>
      <c r="C82" s="12"/>
      <c r="D82" s="13"/>
      <c r="E82" s="12"/>
      <c r="F82" s="12"/>
      <c r="G82" s="13"/>
      <c r="H82" s="12"/>
      <c r="I82" s="13"/>
    </row>
    <row r="83" customFormat="false" ht="15" hidden="false" customHeight="false" outlineLevel="0" collapsed="false">
      <c r="A83" s="7"/>
      <c r="B83" s="6"/>
      <c r="C83" s="6"/>
      <c r="D83" s="7"/>
      <c r="E83" s="6"/>
      <c r="F83" s="6"/>
      <c r="G83" s="7"/>
      <c r="H83" s="6"/>
      <c r="I83" s="7"/>
    </row>
    <row r="84" customFormat="false" ht="15" hidden="false" customHeight="false" outlineLevel="0" collapsed="false">
      <c r="A84" s="13"/>
      <c r="B84" s="12"/>
      <c r="C84" s="12"/>
      <c r="D84" s="13"/>
      <c r="E84" s="12"/>
      <c r="F84" s="12"/>
      <c r="G84" s="13"/>
      <c r="H84" s="12"/>
      <c r="I84" s="13"/>
    </row>
    <row r="85" customFormat="false" ht="15" hidden="false" customHeight="false" outlineLevel="0" collapsed="false">
      <c r="A85" s="7"/>
      <c r="B85" s="6"/>
      <c r="C85" s="6"/>
      <c r="D85" s="7"/>
      <c r="E85" s="6"/>
      <c r="F85" s="6"/>
      <c r="G85" s="7"/>
      <c r="H85" s="6"/>
      <c r="I85" s="7"/>
    </row>
    <row r="86" customFormat="false" ht="15" hidden="false" customHeight="false" outlineLevel="0" collapsed="false">
      <c r="A86" s="13"/>
      <c r="B86" s="12"/>
      <c r="C86" s="12"/>
      <c r="D86" s="13"/>
      <c r="E86" s="12"/>
      <c r="F86" s="12"/>
      <c r="G86" s="13"/>
      <c r="H86" s="12"/>
      <c r="I86" s="13"/>
    </row>
    <row r="87" customFormat="false" ht="15" hidden="false" customHeight="false" outlineLevel="0" collapsed="false">
      <c r="A87" s="7"/>
      <c r="B87" s="6"/>
      <c r="C87" s="6"/>
      <c r="D87" s="7"/>
      <c r="E87" s="6"/>
      <c r="F87" s="6"/>
      <c r="G87" s="7"/>
      <c r="H87" s="6"/>
      <c r="I87" s="7"/>
    </row>
    <row r="88" customFormat="false" ht="15" hidden="false" customHeight="false" outlineLevel="0" collapsed="false">
      <c r="A88" s="13"/>
      <c r="B88" s="12"/>
      <c r="C88" s="12"/>
      <c r="D88" s="13"/>
      <c r="E88" s="12"/>
      <c r="F88" s="12"/>
      <c r="G88" s="13"/>
      <c r="H88" s="12"/>
      <c r="I88" s="13"/>
    </row>
    <row r="89" customFormat="false" ht="15" hidden="false" customHeight="false" outlineLevel="0" collapsed="false">
      <c r="A89" s="7"/>
      <c r="B89" s="6"/>
      <c r="C89" s="6"/>
      <c r="D89" s="7"/>
      <c r="E89" s="6"/>
      <c r="F89" s="6"/>
      <c r="G89" s="7"/>
      <c r="H89" s="6"/>
      <c r="I89" s="7"/>
    </row>
    <row r="90" customFormat="false" ht="15" hidden="false" customHeight="false" outlineLevel="0" collapsed="false">
      <c r="A90" s="13"/>
      <c r="B90" s="12"/>
      <c r="C90" s="12"/>
      <c r="D90" s="13"/>
      <c r="E90" s="12"/>
      <c r="F90" s="12"/>
      <c r="G90" s="13"/>
      <c r="H90" s="12"/>
      <c r="I90" s="13"/>
    </row>
    <row r="91" customFormat="false" ht="15" hidden="false" customHeight="false" outlineLevel="0" collapsed="false">
      <c r="A91" s="7"/>
      <c r="B91" s="6"/>
      <c r="C91" s="6"/>
      <c r="D91" s="7"/>
      <c r="E91" s="6"/>
      <c r="F91" s="6"/>
      <c r="G91" s="7"/>
      <c r="H91" s="6"/>
      <c r="I91" s="7"/>
    </row>
    <row r="92" customFormat="false" ht="15" hidden="false" customHeight="false" outlineLevel="0" collapsed="false">
      <c r="A92" s="13"/>
      <c r="B92" s="12"/>
      <c r="C92" s="12"/>
      <c r="D92" s="13"/>
      <c r="E92" s="12"/>
      <c r="F92" s="12"/>
      <c r="G92" s="13"/>
      <c r="H92" s="12"/>
      <c r="I92" s="13"/>
    </row>
    <row r="93" customFormat="false" ht="15" hidden="false" customHeight="false" outlineLevel="0" collapsed="false">
      <c r="A93" s="7"/>
      <c r="B93" s="6"/>
      <c r="C93" s="6"/>
      <c r="D93" s="7"/>
      <c r="E93" s="6"/>
      <c r="F93" s="6"/>
      <c r="G93" s="7"/>
      <c r="H93" s="6"/>
      <c r="I93" s="7"/>
    </row>
    <row r="94" customFormat="false" ht="15" hidden="false" customHeight="false" outlineLevel="0" collapsed="false">
      <c r="A94" s="13"/>
      <c r="B94" s="12"/>
      <c r="C94" s="12"/>
      <c r="D94" s="13"/>
      <c r="E94" s="12"/>
      <c r="F94" s="12"/>
      <c r="G94" s="13"/>
      <c r="H94" s="12"/>
      <c r="I94" s="13"/>
    </row>
    <row r="95" customFormat="false" ht="15" hidden="false" customHeight="false" outlineLevel="0" collapsed="false">
      <c r="A95" s="7"/>
      <c r="B95" s="6"/>
      <c r="C95" s="6"/>
      <c r="D95" s="7"/>
      <c r="E95" s="6"/>
      <c r="F95" s="6"/>
      <c r="G95" s="7"/>
      <c r="H95" s="6"/>
      <c r="I95" s="7"/>
    </row>
    <row r="96" customFormat="false" ht="15" hidden="false" customHeight="false" outlineLevel="0" collapsed="false">
      <c r="A96" s="13"/>
      <c r="B96" s="12"/>
      <c r="C96" s="12"/>
      <c r="D96" s="13"/>
      <c r="E96" s="12"/>
      <c r="F96" s="12"/>
      <c r="G96" s="13"/>
      <c r="H96" s="12"/>
      <c r="I96" s="13"/>
    </row>
    <row r="97" customFormat="false" ht="15" hidden="false" customHeight="false" outlineLevel="0" collapsed="false">
      <c r="A97" s="7"/>
      <c r="B97" s="6"/>
      <c r="C97" s="6"/>
      <c r="D97" s="7"/>
      <c r="E97" s="6"/>
      <c r="F97" s="6"/>
      <c r="G97" s="7"/>
      <c r="H97" s="6"/>
      <c r="I97" s="7"/>
    </row>
    <row r="98" customFormat="false" ht="15" hidden="false" customHeight="false" outlineLevel="0" collapsed="false">
      <c r="A98" s="13"/>
      <c r="B98" s="12"/>
      <c r="C98" s="12"/>
      <c r="D98" s="13"/>
      <c r="E98" s="12"/>
      <c r="F98" s="12"/>
      <c r="G98" s="13"/>
      <c r="H98" s="12"/>
      <c r="I98" s="13"/>
    </row>
    <row r="99" customFormat="false" ht="15" hidden="false" customHeight="false" outlineLevel="0" collapsed="false">
      <c r="A99" s="7"/>
      <c r="B99" s="6"/>
      <c r="C99" s="6"/>
      <c r="D99" s="7"/>
      <c r="E99" s="6"/>
      <c r="F99" s="6"/>
      <c r="G99" s="7"/>
      <c r="H99" s="6"/>
      <c r="I99" s="7"/>
    </row>
    <row r="100" customFormat="false" ht="15" hidden="false" customHeight="false" outlineLevel="0" collapsed="false">
      <c r="A100" s="13"/>
      <c r="B100" s="12"/>
      <c r="C100" s="12"/>
      <c r="D100" s="13"/>
      <c r="E100" s="12"/>
      <c r="F100" s="12"/>
      <c r="G100" s="13"/>
      <c r="H100" s="12"/>
      <c r="I100" s="13"/>
    </row>
    <row r="101" customFormat="false" ht="15" hidden="false" customHeight="false" outlineLevel="0" collapsed="false">
      <c r="A101" s="7"/>
      <c r="B101" s="6"/>
      <c r="C101" s="6"/>
      <c r="D101" s="7"/>
      <c r="E101" s="6"/>
      <c r="F101" s="6"/>
      <c r="G101" s="7"/>
      <c r="H101" s="6"/>
      <c r="I101" s="7"/>
    </row>
    <row r="102" customFormat="false" ht="15" hidden="false" customHeight="false" outlineLevel="0" collapsed="false">
      <c r="A102" s="13"/>
      <c r="B102" s="12"/>
      <c r="C102" s="12"/>
      <c r="D102" s="13"/>
      <c r="E102" s="12"/>
      <c r="F102" s="12"/>
      <c r="G102" s="13"/>
      <c r="H102" s="12"/>
      <c r="I102" s="13"/>
    </row>
    <row r="103" customFormat="false" ht="15" hidden="false" customHeight="false" outlineLevel="0" collapsed="false">
      <c r="A103" s="7"/>
      <c r="B103" s="6"/>
      <c r="C103" s="6"/>
      <c r="D103" s="7"/>
      <c r="E103" s="6"/>
      <c r="F103" s="6"/>
      <c r="G103" s="7"/>
      <c r="H103" s="6"/>
      <c r="I103" s="7"/>
    </row>
    <row r="104" customFormat="false" ht="15" hidden="false" customHeight="false" outlineLevel="0" collapsed="false">
      <c r="A104" s="13"/>
      <c r="B104" s="12"/>
      <c r="C104" s="12"/>
      <c r="D104" s="13"/>
      <c r="E104" s="12"/>
      <c r="F104" s="12"/>
      <c r="G104" s="13"/>
      <c r="H104" s="12"/>
      <c r="I104" s="13"/>
    </row>
    <row r="105" customFormat="false" ht="15" hidden="false" customHeight="false" outlineLevel="0" collapsed="false">
      <c r="A105" s="7"/>
      <c r="B105" s="6"/>
      <c r="C105" s="6"/>
      <c r="D105" s="7"/>
      <c r="E105" s="6"/>
      <c r="F105" s="6"/>
      <c r="G105" s="7"/>
      <c r="H105" s="6"/>
      <c r="I105" s="7"/>
    </row>
    <row r="106" customFormat="false" ht="15" hidden="false" customHeight="false" outlineLevel="0" collapsed="false">
      <c r="A106" s="13"/>
      <c r="B106" s="12"/>
      <c r="C106" s="12"/>
      <c r="D106" s="13"/>
      <c r="E106" s="12"/>
      <c r="F106" s="12"/>
      <c r="G106" s="13"/>
      <c r="H106" s="12"/>
      <c r="I106" s="13"/>
    </row>
    <row r="107" customFormat="false" ht="15" hidden="false" customHeight="false" outlineLevel="0" collapsed="false">
      <c r="A107" s="7"/>
      <c r="B107" s="6"/>
      <c r="C107" s="6"/>
      <c r="D107" s="7"/>
      <c r="E107" s="6"/>
      <c r="F107" s="6"/>
      <c r="G107" s="7"/>
      <c r="H107" s="6"/>
      <c r="I107" s="7"/>
    </row>
    <row r="108" customFormat="false" ht="15" hidden="false" customHeight="false" outlineLevel="0" collapsed="false">
      <c r="A108" s="13"/>
      <c r="B108" s="12"/>
      <c r="C108" s="12"/>
      <c r="D108" s="13"/>
      <c r="E108" s="12"/>
      <c r="F108" s="12"/>
      <c r="G108" s="13"/>
      <c r="H108" s="12"/>
      <c r="I108" s="13"/>
    </row>
    <row r="109" customFormat="false" ht="15" hidden="false" customHeight="false" outlineLevel="0" collapsed="false">
      <c r="A109" s="7"/>
      <c r="B109" s="6"/>
      <c r="C109" s="6"/>
      <c r="D109" s="7"/>
      <c r="E109" s="6"/>
      <c r="F109" s="6"/>
      <c r="G109" s="7"/>
      <c r="H109" s="6"/>
      <c r="I109" s="7"/>
    </row>
    <row r="110" customFormat="false" ht="15" hidden="false" customHeight="false" outlineLevel="0" collapsed="false">
      <c r="A110" s="13"/>
      <c r="B110" s="12"/>
      <c r="C110" s="12"/>
      <c r="D110" s="13"/>
      <c r="E110" s="12"/>
      <c r="F110" s="12"/>
      <c r="G110" s="13"/>
      <c r="H110" s="12"/>
      <c r="I110" s="13"/>
    </row>
    <row r="111" customFormat="false" ht="15" hidden="false" customHeight="false" outlineLevel="0" collapsed="false">
      <c r="A111" s="7"/>
      <c r="B111" s="6"/>
      <c r="C111" s="6"/>
      <c r="D111" s="7"/>
      <c r="E111" s="6"/>
      <c r="F111" s="6"/>
      <c r="G111" s="7"/>
      <c r="H111" s="6"/>
      <c r="I111" s="7"/>
    </row>
    <row r="112" customFormat="false" ht="15" hidden="false" customHeight="false" outlineLevel="0" collapsed="false">
      <c r="A112" s="13"/>
      <c r="B112" s="12"/>
      <c r="C112" s="12"/>
      <c r="D112" s="13"/>
      <c r="E112" s="12"/>
      <c r="F112" s="12"/>
      <c r="G112" s="13"/>
      <c r="H112" s="12"/>
      <c r="I112" s="13"/>
    </row>
    <row r="113" customFormat="false" ht="15" hidden="false" customHeight="false" outlineLevel="0" collapsed="false">
      <c r="A113" s="7"/>
      <c r="B113" s="6"/>
      <c r="C113" s="6"/>
      <c r="D113" s="7"/>
      <c r="E113" s="6"/>
      <c r="F113" s="6"/>
      <c r="G113" s="7"/>
      <c r="H113" s="6"/>
      <c r="I113" s="7"/>
    </row>
    <row r="114" customFormat="false" ht="15" hidden="false" customHeight="false" outlineLevel="0" collapsed="false">
      <c r="A114" s="13"/>
      <c r="B114" s="12"/>
      <c r="C114" s="12"/>
      <c r="D114" s="13"/>
      <c r="E114" s="12"/>
      <c r="F114" s="12"/>
      <c r="G114" s="13"/>
      <c r="H114" s="12"/>
      <c r="I114" s="13"/>
    </row>
    <row r="115" customFormat="false" ht="15" hidden="false" customHeight="false" outlineLevel="0" collapsed="false">
      <c r="A115" s="7"/>
      <c r="B115" s="6"/>
      <c r="C115" s="6"/>
      <c r="D115" s="7"/>
      <c r="E115" s="6"/>
      <c r="F115" s="6"/>
      <c r="G115" s="7"/>
      <c r="H115" s="6"/>
      <c r="I115" s="7"/>
    </row>
    <row r="116" customFormat="false" ht="15" hidden="false" customHeight="false" outlineLevel="0" collapsed="false">
      <c r="A116" s="13"/>
      <c r="B116" s="12"/>
      <c r="C116" s="12"/>
      <c r="D116" s="13"/>
      <c r="E116" s="12"/>
      <c r="F116" s="12"/>
      <c r="G116" s="13"/>
      <c r="H116" s="12"/>
      <c r="I116" s="13"/>
    </row>
    <row r="117" customFormat="false" ht="15" hidden="false" customHeight="false" outlineLevel="0" collapsed="false">
      <c r="A117" s="7"/>
      <c r="B117" s="6"/>
      <c r="C117" s="6"/>
      <c r="D117" s="7"/>
      <c r="E117" s="6"/>
      <c r="F117" s="6"/>
      <c r="G117" s="7"/>
      <c r="H117" s="6"/>
      <c r="I117" s="7"/>
    </row>
    <row r="118" customFormat="false" ht="15" hidden="false" customHeight="false" outlineLevel="0" collapsed="false">
      <c r="A118" s="13"/>
      <c r="B118" s="12"/>
      <c r="C118" s="12"/>
      <c r="D118" s="13"/>
      <c r="E118" s="12"/>
      <c r="F118" s="12"/>
      <c r="G118" s="13"/>
      <c r="H118" s="12"/>
      <c r="I118" s="13"/>
    </row>
    <row r="119" customFormat="false" ht="15" hidden="false" customHeight="false" outlineLevel="0" collapsed="false">
      <c r="A119" s="7"/>
      <c r="B119" s="6"/>
      <c r="C119" s="6"/>
      <c r="D119" s="7"/>
      <c r="E119" s="6"/>
      <c r="F119" s="6"/>
      <c r="G119" s="7"/>
      <c r="H119" s="6"/>
      <c r="I119" s="7"/>
    </row>
    <row r="120" customFormat="false" ht="15" hidden="false" customHeight="false" outlineLevel="0" collapsed="false">
      <c r="A120" s="13"/>
      <c r="B120" s="12"/>
      <c r="C120" s="12"/>
      <c r="D120" s="13"/>
      <c r="E120" s="12"/>
      <c r="F120" s="12"/>
      <c r="G120" s="13"/>
      <c r="H120" s="12"/>
      <c r="I120" s="13"/>
    </row>
    <row r="121" customFormat="false" ht="15" hidden="false" customHeight="false" outlineLevel="0" collapsed="false">
      <c r="A121" s="7"/>
      <c r="B121" s="6"/>
      <c r="C121" s="6"/>
      <c r="D121" s="7"/>
      <c r="E121" s="6"/>
      <c r="F121" s="6"/>
      <c r="G121" s="7"/>
      <c r="H121" s="6"/>
      <c r="I121" s="7"/>
    </row>
    <row r="122" customFormat="false" ht="15" hidden="false" customHeight="false" outlineLevel="0" collapsed="false">
      <c r="A122" s="13"/>
      <c r="B122" s="12"/>
      <c r="C122" s="12"/>
      <c r="D122" s="13"/>
      <c r="E122" s="12"/>
      <c r="F122" s="12"/>
      <c r="G122" s="13"/>
      <c r="H122" s="12"/>
      <c r="I122" s="13"/>
    </row>
    <row r="123" customFormat="false" ht="15" hidden="false" customHeight="false" outlineLevel="0" collapsed="false">
      <c r="A123" s="7"/>
      <c r="B123" s="6"/>
      <c r="C123" s="6"/>
      <c r="D123" s="7"/>
      <c r="E123" s="6"/>
      <c r="F123" s="6"/>
      <c r="G123" s="7"/>
      <c r="H123" s="6"/>
      <c r="I123" s="7"/>
    </row>
    <row r="124" customFormat="false" ht="15" hidden="false" customHeight="false" outlineLevel="0" collapsed="false">
      <c r="A124" s="13"/>
      <c r="B124" s="12"/>
      <c r="C124" s="12"/>
      <c r="D124" s="13"/>
      <c r="E124" s="12"/>
      <c r="F124" s="12"/>
      <c r="G124" s="13"/>
      <c r="H124" s="12"/>
      <c r="I124" s="13"/>
    </row>
    <row r="125" customFormat="false" ht="15" hidden="false" customHeight="false" outlineLevel="0" collapsed="false">
      <c r="A125" s="7"/>
      <c r="B125" s="6"/>
      <c r="C125" s="6"/>
      <c r="D125" s="7"/>
      <c r="E125" s="6"/>
      <c r="F125" s="6"/>
      <c r="G125" s="7"/>
      <c r="H125" s="6"/>
      <c r="I125" s="7"/>
    </row>
    <row r="126" customFormat="false" ht="15" hidden="false" customHeight="false" outlineLevel="0" collapsed="false">
      <c r="A126" s="13"/>
      <c r="B126" s="12"/>
      <c r="C126" s="12"/>
      <c r="D126" s="13"/>
      <c r="E126" s="12"/>
      <c r="F126" s="12"/>
      <c r="G126" s="13"/>
      <c r="H126" s="12"/>
      <c r="I126" s="13"/>
    </row>
    <row r="127" customFormat="false" ht="15" hidden="false" customHeight="false" outlineLevel="0" collapsed="false">
      <c r="A127" s="7"/>
      <c r="B127" s="6"/>
      <c r="C127" s="6"/>
      <c r="D127" s="7"/>
      <c r="E127" s="6"/>
      <c r="F127" s="6"/>
      <c r="G127" s="7"/>
      <c r="H127" s="6"/>
      <c r="I127" s="7"/>
    </row>
    <row r="128" customFormat="false" ht="15" hidden="false" customHeight="false" outlineLevel="0" collapsed="false">
      <c r="A128" s="13"/>
      <c r="B128" s="12"/>
      <c r="C128" s="12"/>
      <c r="D128" s="13"/>
      <c r="E128" s="12"/>
      <c r="F128" s="12"/>
      <c r="G128" s="13"/>
      <c r="H128" s="12"/>
      <c r="I128" s="13"/>
    </row>
    <row r="129" customFormat="false" ht="15" hidden="false" customHeight="false" outlineLevel="0" collapsed="false">
      <c r="A129" s="7"/>
      <c r="B129" s="6"/>
      <c r="C129" s="6"/>
      <c r="D129" s="7"/>
      <c r="E129" s="6"/>
      <c r="F129" s="6"/>
      <c r="G129" s="7"/>
      <c r="H129" s="6"/>
      <c r="I129" s="7"/>
    </row>
    <row r="130" customFormat="false" ht="15" hidden="false" customHeight="false" outlineLevel="0" collapsed="false">
      <c r="A130" s="13"/>
      <c r="B130" s="12"/>
      <c r="C130" s="12"/>
      <c r="D130" s="13"/>
      <c r="E130" s="12"/>
      <c r="F130" s="12"/>
      <c r="G130" s="13"/>
      <c r="H130" s="12"/>
      <c r="I130" s="13"/>
    </row>
    <row r="131" customFormat="false" ht="15" hidden="false" customHeight="false" outlineLevel="0" collapsed="false">
      <c r="A131" s="7"/>
      <c r="B131" s="6"/>
      <c r="C131" s="6"/>
      <c r="D131" s="7"/>
      <c r="E131" s="6"/>
      <c r="F131" s="6"/>
      <c r="G131" s="7"/>
      <c r="H131" s="6"/>
      <c r="I131" s="7"/>
    </row>
    <row r="132" customFormat="false" ht="15" hidden="false" customHeight="false" outlineLevel="0" collapsed="false">
      <c r="A132" s="13"/>
      <c r="B132" s="12"/>
      <c r="C132" s="12"/>
      <c r="D132" s="13"/>
      <c r="E132" s="12"/>
      <c r="F132" s="12"/>
      <c r="G132" s="13"/>
      <c r="H132" s="12"/>
      <c r="I132" s="13"/>
    </row>
    <row r="133" customFormat="false" ht="15" hidden="false" customHeight="false" outlineLevel="0" collapsed="false">
      <c r="A133" s="7"/>
      <c r="B133" s="6"/>
      <c r="C133" s="6"/>
      <c r="D133" s="7"/>
      <c r="E133" s="6"/>
      <c r="F133" s="6"/>
      <c r="G133" s="7"/>
      <c r="H133" s="6"/>
      <c r="I133" s="7"/>
    </row>
    <row r="134" customFormat="false" ht="15" hidden="false" customHeight="false" outlineLevel="0" collapsed="false">
      <c r="A134" s="13"/>
      <c r="B134" s="12"/>
      <c r="C134" s="12"/>
      <c r="D134" s="13"/>
      <c r="E134" s="12"/>
      <c r="F134" s="12"/>
      <c r="G134" s="13"/>
      <c r="H134" s="12"/>
      <c r="I134" s="13"/>
    </row>
    <row r="135" customFormat="false" ht="15" hidden="false" customHeight="false" outlineLevel="0" collapsed="false">
      <c r="A135" s="7"/>
      <c r="B135" s="6"/>
      <c r="C135" s="6"/>
      <c r="D135" s="7"/>
      <c r="E135" s="6"/>
      <c r="F135" s="6"/>
      <c r="G135" s="7"/>
      <c r="H135" s="6"/>
      <c r="I135" s="7"/>
    </row>
    <row r="136" customFormat="false" ht="15" hidden="false" customHeight="false" outlineLevel="0" collapsed="false">
      <c r="A136" s="13"/>
      <c r="B136" s="12"/>
      <c r="C136" s="12"/>
      <c r="D136" s="13"/>
      <c r="E136" s="12"/>
      <c r="F136" s="12"/>
      <c r="G136" s="13"/>
      <c r="H136" s="12"/>
      <c r="I136" s="13"/>
    </row>
    <row r="137" customFormat="false" ht="15" hidden="false" customHeight="false" outlineLevel="0" collapsed="false">
      <c r="A137" s="7"/>
      <c r="B137" s="6"/>
      <c r="C137" s="6"/>
      <c r="D137" s="7"/>
      <c r="E137" s="6"/>
      <c r="F137" s="6"/>
      <c r="G137" s="7"/>
      <c r="H137" s="6"/>
      <c r="I137" s="7"/>
    </row>
    <row r="138" customFormat="false" ht="15" hidden="false" customHeight="false" outlineLevel="0" collapsed="false">
      <c r="A138" s="13"/>
      <c r="B138" s="12"/>
      <c r="C138" s="12"/>
      <c r="D138" s="13"/>
      <c r="E138" s="12"/>
      <c r="F138" s="12"/>
      <c r="G138" s="13"/>
      <c r="H138" s="12"/>
      <c r="I138" s="13"/>
    </row>
    <row r="139" customFormat="false" ht="15" hidden="false" customHeight="false" outlineLevel="0" collapsed="false">
      <c r="A139" s="7"/>
      <c r="B139" s="6"/>
      <c r="C139" s="6"/>
      <c r="D139" s="7"/>
      <c r="E139" s="6"/>
      <c r="F139" s="6"/>
      <c r="G139" s="7"/>
      <c r="H139" s="6"/>
      <c r="I139" s="7"/>
    </row>
    <row r="140" customFormat="false" ht="15" hidden="false" customHeight="false" outlineLevel="0" collapsed="false">
      <c r="A140" s="13"/>
      <c r="B140" s="12"/>
      <c r="C140" s="12"/>
      <c r="D140" s="13"/>
      <c r="E140" s="12"/>
      <c r="F140" s="12"/>
      <c r="G140" s="13"/>
      <c r="H140" s="12"/>
      <c r="I140" s="13"/>
    </row>
    <row r="141" customFormat="false" ht="15" hidden="false" customHeight="false" outlineLevel="0" collapsed="false">
      <c r="A141" s="7"/>
      <c r="B141" s="6"/>
      <c r="C141" s="6"/>
      <c r="D141" s="7"/>
      <c r="E141" s="6"/>
      <c r="F141" s="6"/>
      <c r="G141" s="7"/>
      <c r="H141" s="6"/>
      <c r="I141" s="7"/>
    </row>
    <row r="142" customFormat="false" ht="15" hidden="false" customHeight="false" outlineLevel="0" collapsed="false">
      <c r="A142" s="13"/>
      <c r="B142" s="12"/>
      <c r="C142" s="12"/>
      <c r="D142" s="13"/>
      <c r="E142" s="12"/>
      <c r="F142" s="12"/>
      <c r="G142" s="13"/>
      <c r="H142" s="12"/>
      <c r="I142" s="13"/>
    </row>
    <row r="143" customFormat="false" ht="15" hidden="false" customHeight="false" outlineLevel="0" collapsed="false">
      <c r="A143" s="7"/>
      <c r="B143" s="6"/>
      <c r="C143" s="6"/>
      <c r="D143" s="7"/>
      <c r="E143" s="6"/>
      <c r="F143" s="6"/>
      <c r="G143" s="7"/>
      <c r="H143" s="6"/>
      <c r="I143" s="7"/>
    </row>
    <row r="144" customFormat="false" ht="15" hidden="false" customHeight="false" outlineLevel="0" collapsed="false">
      <c r="A144" s="13"/>
      <c r="B144" s="12"/>
      <c r="C144" s="12"/>
      <c r="D144" s="13"/>
      <c r="E144" s="12"/>
      <c r="F144" s="12"/>
      <c r="G144" s="13"/>
      <c r="H144" s="12"/>
      <c r="I144" s="13"/>
    </row>
    <row r="145" customFormat="false" ht="15" hidden="false" customHeight="false" outlineLevel="0" collapsed="false">
      <c r="A145" s="7"/>
      <c r="B145" s="6"/>
      <c r="C145" s="6"/>
      <c r="D145" s="7"/>
      <c r="E145" s="6"/>
      <c r="F145" s="6"/>
      <c r="G145" s="7"/>
      <c r="H145" s="6"/>
      <c r="I145" s="7"/>
    </row>
    <row r="146" customFormat="false" ht="15" hidden="false" customHeight="false" outlineLevel="0" collapsed="false">
      <c r="A146" s="13"/>
      <c r="B146" s="12"/>
      <c r="C146" s="12"/>
      <c r="D146" s="13"/>
      <c r="E146" s="12"/>
      <c r="F146" s="12"/>
      <c r="G146" s="13"/>
      <c r="H146" s="12"/>
      <c r="I146" s="13"/>
    </row>
    <row r="147" customFormat="false" ht="15" hidden="false" customHeight="false" outlineLevel="0" collapsed="false">
      <c r="A147" s="7"/>
      <c r="B147" s="6"/>
      <c r="C147" s="6"/>
      <c r="D147" s="7"/>
      <c r="E147" s="6"/>
      <c r="F147" s="6"/>
      <c r="G147" s="7"/>
      <c r="H147" s="6"/>
      <c r="I147" s="7"/>
    </row>
    <row r="148" customFormat="false" ht="15" hidden="false" customHeight="false" outlineLevel="0" collapsed="false">
      <c r="A148" s="13"/>
      <c r="B148" s="12"/>
      <c r="C148" s="12"/>
      <c r="D148" s="13"/>
      <c r="E148" s="12"/>
      <c r="F148" s="12"/>
      <c r="G148" s="13"/>
      <c r="H148" s="12"/>
      <c r="I148" s="13"/>
    </row>
    <row r="149" customFormat="false" ht="15" hidden="false" customHeight="false" outlineLevel="0" collapsed="false">
      <c r="A149" s="7"/>
      <c r="B149" s="6"/>
      <c r="C149" s="6"/>
      <c r="D149" s="7"/>
      <c r="E149" s="6"/>
      <c r="F149" s="6"/>
      <c r="G149" s="7"/>
      <c r="H149" s="6"/>
      <c r="I149" s="7"/>
    </row>
    <row r="150" customFormat="false" ht="15" hidden="false" customHeight="false" outlineLevel="0" collapsed="false">
      <c r="A150" s="13"/>
      <c r="B150" s="12"/>
      <c r="C150" s="12"/>
      <c r="D150" s="13"/>
      <c r="E150" s="12"/>
      <c r="F150" s="12"/>
      <c r="G150" s="13"/>
      <c r="H150" s="12"/>
      <c r="I150" s="13"/>
    </row>
    <row r="151" customFormat="false" ht="15" hidden="false" customHeight="false" outlineLevel="0" collapsed="false">
      <c r="A151" s="7"/>
      <c r="B151" s="6"/>
      <c r="C151" s="6"/>
      <c r="D151" s="7"/>
      <c r="E151" s="6"/>
      <c r="F151" s="6"/>
      <c r="G151" s="7"/>
      <c r="H151" s="6"/>
      <c r="I151" s="7"/>
    </row>
    <row r="152" customFormat="false" ht="15" hidden="false" customHeight="false" outlineLevel="0" collapsed="false">
      <c r="A152" s="13"/>
      <c r="B152" s="12"/>
      <c r="C152" s="12"/>
      <c r="D152" s="13"/>
      <c r="E152" s="12"/>
      <c r="F152" s="12"/>
      <c r="G152" s="13"/>
      <c r="H152" s="12"/>
      <c r="I152" s="13"/>
    </row>
    <row r="153" customFormat="false" ht="15" hidden="false" customHeight="false" outlineLevel="0" collapsed="false">
      <c r="A153" s="7"/>
      <c r="B153" s="6"/>
      <c r="C153" s="6"/>
      <c r="D153" s="7"/>
      <c r="E153" s="6"/>
      <c r="F153" s="6"/>
      <c r="G153" s="7"/>
      <c r="H153" s="6"/>
      <c r="I153" s="7"/>
    </row>
    <row r="154" customFormat="false" ht="15" hidden="false" customHeight="false" outlineLevel="0" collapsed="false">
      <c r="A154" s="13"/>
      <c r="B154" s="12"/>
      <c r="C154" s="12"/>
      <c r="D154" s="13"/>
      <c r="E154" s="12"/>
      <c r="F154" s="12"/>
      <c r="G154" s="13"/>
      <c r="H154" s="12"/>
      <c r="I154" s="13"/>
    </row>
    <row r="155" customFormat="false" ht="15" hidden="false" customHeight="false" outlineLevel="0" collapsed="false">
      <c r="A155" s="7"/>
      <c r="B155" s="6"/>
      <c r="C155" s="6"/>
      <c r="D155" s="7"/>
      <c r="E155" s="6"/>
      <c r="F155" s="6"/>
      <c r="G155" s="7"/>
      <c r="H155" s="6"/>
      <c r="I155" s="7"/>
    </row>
    <row r="156" customFormat="false" ht="15" hidden="false" customHeight="false" outlineLevel="0" collapsed="false">
      <c r="A156" s="13"/>
      <c r="B156" s="12"/>
      <c r="C156" s="12"/>
      <c r="D156" s="13"/>
      <c r="E156" s="12"/>
      <c r="F156" s="12"/>
      <c r="G156" s="13"/>
      <c r="H156" s="12"/>
      <c r="I156" s="13"/>
    </row>
    <row r="157" customFormat="false" ht="15" hidden="false" customHeight="false" outlineLevel="0" collapsed="false">
      <c r="A157" s="7"/>
      <c r="B157" s="6"/>
      <c r="C157" s="6"/>
      <c r="D157" s="7"/>
      <c r="E157" s="6"/>
      <c r="F157" s="6"/>
      <c r="G157" s="7"/>
      <c r="H157" s="6"/>
      <c r="I157" s="7"/>
    </row>
    <row r="158" customFormat="false" ht="15" hidden="false" customHeight="false" outlineLevel="0" collapsed="false">
      <c r="A158" s="13"/>
      <c r="B158" s="12"/>
      <c r="C158" s="12"/>
      <c r="D158" s="13"/>
      <c r="E158" s="12"/>
      <c r="F158" s="12"/>
      <c r="G158" s="13"/>
      <c r="H158" s="12"/>
      <c r="I158" s="13"/>
    </row>
    <row r="159" customFormat="false" ht="15" hidden="false" customHeight="false" outlineLevel="0" collapsed="false">
      <c r="A159" s="7"/>
      <c r="B159" s="6"/>
      <c r="C159" s="6"/>
      <c r="D159" s="7"/>
      <c r="E159" s="6"/>
      <c r="F159" s="6"/>
      <c r="G159" s="7"/>
      <c r="H159" s="6"/>
      <c r="I159" s="7"/>
    </row>
    <row r="160" customFormat="false" ht="15" hidden="false" customHeight="false" outlineLevel="0" collapsed="false">
      <c r="A160" s="13"/>
      <c r="B160" s="12"/>
      <c r="C160" s="12"/>
      <c r="D160" s="13"/>
      <c r="E160" s="12"/>
      <c r="F160" s="12"/>
      <c r="G160" s="13"/>
      <c r="H160" s="12"/>
      <c r="I160" s="13"/>
    </row>
    <row r="161" customFormat="false" ht="15" hidden="false" customHeight="false" outlineLevel="0" collapsed="false">
      <c r="A161" s="7"/>
      <c r="B161" s="6"/>
      <c r="C161" s="6"/>
      <c r="D161" s="7"/>
      <c r="E161" s="6"/>
      <c r="F161" s="6"/>
      <c r="G161" s="7"/>
      <c r="H161" s="6"/>
      <c r="I161" s="7"/>
    </row>
    <row r="162" customFormat="false" ht="15" hidden="false" customHeight="false" outlineLevel="0" collapsed="false">
      <c r="A162" s="13"/>
      <c r="B162" s="12"/>
      <c r="C162" s="12"/>
      <c r="D162" s="13"/>
      <c r="E162" s="12"/>
      <c r="F162" s="12"/>
      <c r="G162" s="13"/>
      <c r="H162" s="12"/>
      <c r="I162" s="13"/>
    </row>
    <row r="163" customFormat="false" ht="15" hidden="false" customHeight="false" outlineLevel="0" collapsed="false">
      <c r="A163" s="7"/>
      <c r="B163" s="6"/>
      <c r="C163" s="6"/>
      <c r="D163" s="7"/>
      <c r="E163" s="6"/>
      <c r="F163" s="6"/>
      <c r="G163" s="7"/>
      <c r="H163" s="6"/>
      <c r="I163" s="7"/>
    </row>
    <row r="164" customFormat="false" ht="15" hidden="false" customHeight="false" outlineLevel="0" collapsed="false">
      <c r="A164" s="13"/>
      <c r="B164" s="12"/>
      <c r="C164" s="12"/>
      <c r="D164" s="13"/>
      <c r="E164" s="12"/>
      <c r="F164" s="12"/>
      <c r="G164" s="13"/>
      <c r="H164" s="12"/>
      <c r="I164" s="13"/>
    </row>
    <row r="165" customFormat="false" ht="15" hidden="false" customHeight="false" outlineLevel="0" collapsed="false">
      <c r="A165" s="7"/>
      <c r="B165" s="6"/>
      <c r="C165" s="6"/>
      <c r="D165" s="7"/>
      <c r="E165" s="6"/>
      <c r="F165" s="6"/>
      <c r="G165" s="7"/>
      <c r="H165" s="6"/>
      <c r="I165" s="7"/>
    </row>
    <row r="166" customFormat="false" ht="15" hidden="false" customHeight="false" outlineLevel="0" collapsed="false">
      <c r="A166" s="13"/>
      <c r="B166" s="12"/>
      <c r="C166" s="12"/>
      <c r="D166" s="13"/>
      <c r="E166" s="12"/>
      <c r="F166" s="12"/>
      <c r="G166" s="13"/>
      <c r="H166" s="12"/>
      <c r="I166" s="13"/>
    </row>
    <row r="167" customFormat="false" ht="15" hidden="false" customHeight="false" outlineLevel="0" collapsed="false">
      <c r="A167" s="7"/>
      <c r="B167" s="6"/>
      <c r="C167" s="6"/>
      <c r="D167" s="7"/>
      <c r="E167" s="6"/>
      <c r="F167" s="6"/>
      <c r="G167" s="7"/>
      <c r="H167" s="6"/>
      <c r="I167" s="7"/>
    </row>
    <row r="168" customFormat="false" ht="15" hidden="false" customHeight="false" outlineLevel="0" collapsed="false">
      <c r="A168" s="13"/>
      <c r="B168" s="12"/>
      <c r="C168" s="12"/>
      <c r="D168" s="13"/>
      <c r="E168" s="12"/>
      <c r="F168" s="12"/>
      <c r="G168" s="13"/>
      <c r="H168" s="12"/>
      <c r="I168" s="13"/>
    </row>
    <row r="169" customFormat="false" ht="15" hidden="false" customHeight="false" outlineLevel="0" collapsed="false">
      <c r="A169" s="7"/>
      <c r="B169" s="6"/>
      <c r="C169" s="6"/>
      <c r="D169" s="7"/>
      <c r="E169" s="6"/>
      <c r="F169" s="6"/>
      <c r="G169" s="7"/>
      <c r="H169" s="6"/>
      <c r="I169" s="7"/>
    </row>
    <row r="170" customFormat="false" ht="15" hidden="false" customHeight="false" outlineLevel="0" collapsed="false">
      <c r="A170" s="13"/>
      <c r="B170" s="12"/>
      <c r="C170" s="12"/>
      <c r="D170" s="13"/>
      <c r="E170" s="12"/>
      <c r="F170" s="12"/>
      <c r="G170" s="13"/>
      <c r="H170" s="12"/>
      <c r="I170" s="13"/>
    </row>
    <row r="171" customFormat="false" ht="15" hidden="false" customHeight="false" outlineLevel="0" collapsed="false">
      <c r="A171" s="7"/>
      <c r="B171" s="6"/>
      <c r="C171" s="6"/>
      <c r="D171" s="7"/>
      <c r="E171" s="6"/>
      <c r="F171" s="6"/>
      <c r="G171" s="7"/>
      <c r="H171" s="6"/>
      <c r="I171" s="7"/>
    </row>
    <row r="172" customFormat="false" ht="15" hidden="false" customHeight="false" outlineLevel="0" collapsed="false">
      <c r="A172" s="13"/>
      <c r="B172" s="12"/>
      <c r="C172" s="12"/>
      <c r="D172" s="13"/>
      <c r="E172" s="12"/>
      <c r="F172" s="12"/>
      <c r="G172" s="13"/>
      <c r="H172" s="12"/>
      <c r="I172" s="13"/>
    </row>
    <row r="173" customFormat="false" ht="15" hidden="false" customHeight="false" outlineLevel="0" collapsed="false">
      <c r="A173" s="7"/>
      <c r="B173" s="6"/>
      <c r="C173" s="6"/>
      <c r="D173" s="7"/>
      <c r="E173" s="6"/>
      <c r="F173" s="6"/>
      <c r="G173" s="7"/>
      <c r="H173" s="6"/>
      <c r="I173" s="7"/>
    </row>
    <row r="174" customFormat="false" ht="15" hidden="false" customHeight="false" outlineLevel="0" collapsed="false">
      <c r="A174" s="13"/>
      <c r="B174" s="12"/>
      <c r="C174" s="12"/>
      <c r="D174" s="13"/>
      <c r="E174" s="12"/>
      <c r="F174" s="12"/>
      <c r="G174" s="13"/>
      <c r="H174" s="12"/>
      <c r="I174" s="13"/>
    </row>
    <row r="175" customFormat="false" ht="15" hidden="false" customHeight="false" outlineLevel="0" collapsed="false">
      <c r="A175" s="7"/>
      <c r="B175" s="6"/>
      <c r="C175" s="6"/>
      <c r="D175" s="7"/>
      <c r="E175" s="6"/>
      <c r="F175" s="6"/>
      <c r="G175" s="7"/>
      <c r="H175" s="6"/>
      <c r="I175" s="7"/>
    </row>
    <row r="176" customFormat="false" ht="15" hidden="false" customHeight="false" outlineLevel="0" collapsed="false">
      <c r="A176" s="13"/>
      <c r="B176" s="12"/>
      <c r="C176" s="12"/>
      <c r="D176" s="13"/>
      <c r="E176" s="12"/>
      <c r="F176" s="12"/>
      <c r="G176" s="13"/>
      <c r="H176" s="12"/>
      <c r="I176" s="13"/>
    </row>
    <row r="177" customFormat="false" ht="15" hidden="false" customHeight="false" outlineLevel="0" collapsed="false">
      <c r="A177" s="7"/>
      <c r="B177" s="6"/>
      <c r="C177" s="6"/>
      <c r="D177" s="7"/>
      <c r="E177" s="6"/>
      <c r="F177" s="6"/>
      <c r="G177" s="7"/>
      <c r="H177" s="6"/>
      <c r="I177" s="7"/>
    </row>
    <row r="178" customFormat="false" ht="15" hidden="false" customHeight="false" outlineLevel="0" collapsed="false">
      <c r="A178" s="13"/>
      <c r="B178" s="12"/>
      <c r="C178" s="12"/>
      <c r="D178" s="13"/>
      <c r="E178" s="12"/>
      <c r="F178" s="12"/>
      <c r="G178" s="13"/>
      <c r="H178" s="12"/>
      <c r="I178" s="13"/>
    </row>
    <row r="179" customFormat="false" ht="15" hidden="false" customHeight="false" outlineLevel="0" collapsed="false">
      <c r="A179" s="7"/>
      <c r="B179" s="6"/>
      <c r="C179" s="6"/>
      <c r="D179" s="7"/>
      <c r="E179" s="6"/>
      <c r="F179" s="6"/>
      <c r="G179" s="7"/>
      <c r="H179" s="6"/>
      <c r="I179" s="7"/>
    </row>
    <row r="180" customFormat="false" ht="15" hidden="false" customHeight="false" outlineLevel="0" collapsed="false">
      <c r="A180" s="13"/>
      <c r="B180" s="12"/>
      <c r="C180" s="12"/>
      <c r="D180" s="13"/>
      <c r="E180" s="12"/>
      <c r="F180" s="12"/>
      <c r="G180" s="13"/>
      <c r="H180" s="12"/>
      <c r="I180" s="13"/>
    </row>
    <row r="181" customFormat="false" ht="15" hidden="false" customHeight="false" outlineLevel="0" collapsed="false">
      <c r="A181" s="7"/>
      <c r="B181" s="6"/>
      <c r="C181" s="6"/>
      <c r="D181" s="7"/>
      <c r="E181" s="6"/>
      <c r="F181" s="6"/>
      <c r="G181" s="7"/>
      <c r="H181" s="6"/>
      <c r="I181" s="7"/>
    </row>
    <row r="182" customFormat="false" ht="15" hidden="false" customHeight="false" outlineLevel="0" collapsed="false">
      <c r="A182" s="13"/>
      <c r="B182" s="12"/>
      <c r="C182" s="12"/>
      <c r="D182" s="13"/>
      <c r="E182" s="12"/>
      <c r="F182" s="12"/>
      <c r="G182" s="13"/>
      <c r="H182" s="12"/>
      <c r="I182" s="13"/>
    </row>
    <row r="183" customFormat="false" ht="15" hidden="false" customHeight="false" outlineLevel="0" collapsed="false">
      <c r="A183" s="7"/>
      <c r="B183" s="6"/>
      <c r="C183" s="6"/>
      <c r="D183" s="7"/>
      <c r="E183" s="6"/>
      <c r="F183" s="6"/>
      <c r="G183" s="7"/>
      <c r="H183" s="6"/>
      <c r="I183" s="7"/>
    </row>
    <row r="184" customFormat="false" ht="15" hidden="false" customHeight="false" outlineLevel="0" collapsed="false">
      <c r="A184" s="13"/>
      <c r="B184" s="12"/>
      <c r="C184" s="12"/>
      <c r="D184" s="13"/>
      <c r="E184" s="12"/>
      <c r="F184" s="12"/>
      <c r="G184" s="13"/>
      <c r="H184" s="12"/>
      <c r="I184" s="13"/>
    </row>
    <row r="185" customFormat="false" ht="15" hidden="false" customHeight="false" outlineLevel="0" collapsed="false">
      <c r="A185" s="7"/>
      <c r="B185" s="6"/>
      <c r="C185" s="6"/>
      <c r="D185" s="7"/>
      <c r="E185" s="6"/>
      <c r="F185" s="6"/>
      <c r="G185" s="7"/>
      <c r="H185" s="6"/>
      <c r="I185" s="7"/>
    </row>
    <row r="186" customFormat="false" ht="15" hidden="false" customHeight="false" outlineLevel="0" collapsed="false">
      <c r="A186" s="13"/>
      <c r="B186" s="12"/>
      <c r="C186" s="12"/>
      <c r="D186" s="13"/>
      <c r="E186" s="12"/>
      <c r="F186" s="12"/>
      <c r="G186" s="13"/>
      <c r="H186" s="12"/>
      <c r="I186" s="13"/>
    </row>
    <row r="187" customFormat="false" ht="15" hidden="false" customHeight="false" outlineLevel="0" collapsed="false">
      <c r="A187" s="7"/>
      <c r="B187" s="6"/>
      <c r="C187" s="6"/>
      <c r="D187" s="7"/>
      <c r="E187" s="6"/>
      <c r="F187" s="6"/>
      <c r="G187" s="7"/>
      <c r="H187" s="6"/>
      <c r="I187" s="7"/>
    </row>
    <row r="188" customFormat="false" ht="15" hidden="false" customHeight="false" outlineLevel="0" collapsed="false">
      <c r="A188" s="13"/>
      <c r="B188" s="12"/>
      <c r="C188" s="12"/>
      <c r="D188" s="13"/>
      <c r="E188" s="12"/>
      <c r="F188" s="12"/>
      <c r="G188" s="13"/>
      <c r="H188" s="12"/>
      <c r="I188" s="13"/>
    </row>
    <row r="189" customFormat="false" ht="15" hidden="false" customHeight="false" outlineLevel="0" collapsed="false">
      <c r="A189" s="7"/>
      <c r="B189" s="6"/>
      <c r="C189" s="6"/>
      <c r="D189" s="7"/>
      <c r="E189" s="6"/>
      <c r="F189" s="6"/>
      <c r="G189" s="7"/>
      <c r="H189" s="6"/>
      <c r="I189" s="7"/>
    </row>
    <row r="190" customFormat="false" ht="15" hidden="false" customHeight="false" outlineLevel="0" collapsed="false">
      <c r="A190" s="13"/>
      <c r="B190" s="12"/>
      <c r="C190" s="12"/>
      <c r="D190" s="13"/>
      <c r="E190" s="12"/>
      <c r="F190" s="12"/>
      <c r="G190" s="13"/>
      <c r="H190" s="12"/>
      <c r="I190" s="13"/>
    </row>
    <row r="191" customFormat="false" ht="15" hidden="false" customHeight="false" outlineLevel="0" collapsed="false">
      <c r="A191" s="7"/>
      <c r="B191" s="6"/>
      <c r="C191" s="6"/>
      <c r="D191" s="7"/>
      <c r="E191" s="6"/>
      <c r="F191" s="6"/>
      <c r="G191" s="7"/>
      <c r="H191" s="6"/>
      <c r="I191" s="7"/>
    </row>
    <row r="192" customFormat="false" ht="15" hidden="false" customHeight="false" outlineLevel="0" collapsed="false">
      <c r="A192" s="13"/>
      <c r="B192" s="12"/>
      <c r="C192" s="12"/>
      <c r="D192" s="13"/>
      <c r="E192" s="12"/>
      <c r="F192" s="12"/>
      <c r="G192" s="13"/>
      <c r="H192" s="12"/>
      <c r="I192" s="13"/>
    </row>
    <row r="193" customFormat="false" ht="15" hidden="false" customHeight="false" outlineLevel="0" collapsed="false">
      <c r="A193" s="7"/>
      <c r="B193" s="6"/>
      <c r="C193" s="6"/>
      <c r="D193" s="7"/>
      <c r="E193" s="6"/>
      <c r="F193" s="6"/>
      <c r="G193" s="7"/>
      <c r="H193" s="6"/>
      <c r="I193" s="7"/>
    </row>
    <row r="194" customFormat="false" ht="15" hidden="false" customHeight="false" outlineLevel="0" collapsed="false">
      <c r="A194" s="13"/>
      <c r="B194" s="12"/>
      <c r="C194" s="12"/>
      <c r="D194" s="13"/>
      <c r="E194" s="12"/>
      <c r="F194" s="12"/>
      <c r="G194" s="13"/>
      <c r="H194" s="12"/>
      <c r="I194" s="13"/>
    </row>
    <row r="195" customFormat="false" ht="15" hidden="false" customHeight="false" outlineLevel="0" collapsed="false">
      <c r="A195" s="7"/>
      <c r="B195" s="6"/>
      <c r="C195" s="6"/>
      <c r="D195" s="7"/>
      <c r="E195" s="6"/>
      <c r="F195" s="6"/>
      <c r="G195" s="7"/>
      <c r="H195" s="6"/>
      <c r="I195" s="7"/>
    </row>
    <row r="196" customFormat="false" ht="15" hidden="false" customHeight="false" outlineLevel="0" collapsed="false">
      <c r="A196" s="13"/>
      <c r="B196" s="12"/>
      <c r="C196" s="12"/>
      <c r="D196" s="13"/>
      <c r="E196" s="12"/>
      <c r="F196" s="12"/>
      <c r="G196" s="13"/>
      <c r="H196" s="12"/>
      <c r="I196" s="13"/>
    </row>
    <row r="197" customFormat="false" ht="15" hidden="false" customHeight="false" outlineLevel="0" collapsed="false">
      <c r="A197" s="7"/>
      <c r="B197" s="6"/>
      <c r="C197" s="6"/>
      <c r="D197" s="7"/>
      <c r="E197" s="6"/>
      <c r="F197" s="6"/>
      <c r="G197" s="7"/>
      <c r="H197" s="6"/>
      <c r="I197" s="7"/>
    </row>
    <row r="198" customFormat="false" ht="15" hidden="false" customHeight="false" outlineLevel="0" collapsed="false">
      <c r="A198" s="13"/>
      <c r="B198" s="12"/>
      <c r="C198" s="12"/>
      <c r="D198" s="13"/>
      <c r="E198" s="12"/>
      <c r="F198" s="12"/>
      <c r="G198" s="13"/>
      <c r="H198" s="12"/>
      <c r="I198" s="13"/>
    </row>
    <row r="199" customFormat="false" ht="15" hidden="false" customHeight="false" outlineLevel="0" collapsed="false">
      <c r="A199" s="7"/>
      <c r="B199" s="6"/>
      <c r="C199" s="6"/>
      <c r="D199" s="7"/>
      <c r="E199" s="6"/>
      <c r="F199" s="6"/>
      <c r="G199" s="7"/>
      <c r="H199" s="6"/>
      <c r="I199" s="7"/>
    </row>
    <row r="200" customFormat="false" ht="15" hidden="false" customHeight="false" outlineLevel="0" collapsed="false">
      <c r="A200" s="13"/>
      <c r="B200" s="12"/>
      <c r="C200" s="12"/>
      <c r="D200" s="13"/>
      <c r="E200" s="12"/>
      <c r="F200" s="12"/>
      <c r="G200" s="13"/>
      <c r="H200" s="12"/>
      <c r="I200" s="13"/>
    </row>
    <row r="201" customFormat="false" ht="15" hidden="false" customHeight="false" outlineLevel="0" collapsed="false">
      <c r="A201" s="7"/>
      <c r="B201" s="6"/>
      <c r="C201" s="6"/>
      <c r="D201" s="7"/>
      <c r="E201" s="6"/>
      <c r="F201" s="6"/>
      <c r="G201" s="7"/>
      <c r="H201" s="6"/>
      <c r="I201" s="7"/>
    </row>
    <row r="202" customFormat="false" ht="15" hidden="false" customHeight="false" outlineLevel="0" collapsed="false">
      <c r="A202" s="13"/>
      <c r="B202" s="12"/>
      <c r="C202" s="12"/>
      <c r="D202" s="13"/>
      <c r="E202" s="12"/>
      <c r="F202" s="12"/>
      <c r="G202" s="13"/>
      <c r="H202" s="12"/>
      <c r="I202" s="13"/>
    </row>
    <row r="203" customFormat="false" ht="15" hidden="false" customHeight="false" outlineLevel="0" collapsed="false">
      <c r="A203" s="7"/>
      <c r="B203" s="6"/>
      <c r="C203" s="6"/>
      <c r="D203" s="7"/>
      <c r="E203" s="6"/>
      <c r="F203" s="6"/>
      <c r="G203" s="7"/>
      <c r="H203" s="6"/>
      <c r="I203" s="7"/>
    </row>
    <row r="204" customFormat="false" ht="15" hidden="false" customHeight="false" outlineLevel="0" collapsed="false">
      <c r="A204" s="13"/>
      <c r="B204" s="12"/>
      <c r="C204" s="12"/>
      <c r="D204" s="13"/>
      <c r="E204" s="12"/>
      <c r="F204" s="12"/>
      <c r="G204" s="13"/>
      <c r="H204" s="12"/>
      <c r="I204" s="13"/>
    </row>
    <row r="205" customFormat="false" ht="15" hidden="false" customHeight="false" outlineLevel="0" collapsed="false">
      <c r="A205" s="7"/>
      <c r="B205" s="6"/>
      <c r="C205" s="6"/>
      <c r="D205" s="7"/>
      <c r="E205" s="6"/>
      <c r="F205" s="6"/>
      <c r="G205" s="7"/>
      <c r="H205" s="6"/>
      <c r="I205" s="7"/>
    </row>
    <row r="206" customFormat="false" ht="15" hidden="false" customHeight="false" outlineLevel="0" collapsed="false">
      <c r="A206" s="13"/>
      <c r="B206" s="12"/>
      <c r="C206" s="12"/>
      <c r="D206" s="13"/>
      <c r="E206" s="12"/>
      <c r="F206" s="12"/>
      <c r="G206" s="13"/>
      <c r="H206" s="12"/>
      <c r="I206" s="13"/>
    </row>
    <row r="207" customFormat="false" ht="15" hidden="false" customHeight="false" outlineLevel="0" collapsed="false">
      <c r="A207" s="7"/>
      <c r="B207" s="6"/>
      <c r="C207" s="6"/>
      <c r="D207" s="7"/>
      <c r="E207" s="6"/>
      <c r="F207" s="6"/>
      <c r="G207" s="7"/>
      <c r="H207" s="6"/>
      <c r="I207" s="7"/>
    </row>
    <row r="208" customFormat="false" ht="15" hidden="false" customHeight="false" outlineLevel="0" collapsed="false">
      <c r="A208" s="13"/>
      <c r="B208" s="12"/>
      <c r="C208" s="12"/>
      <c r="D208" s="13"/>
      <c r="E208" s="12"/>
      <c r="F208" s="12"/>
      <c r="G208" s="13"/>
      <c r="H208" s="12"/>
      <c r="I208" s="13"/>
    </row>
    <row r="209" customFormat="false" ht="15" hidden="false" customHeight="false" outlineLevel="0" collapsed="false">
      <c r="A209" s="7"/>
      <c r="B209" s="6"/>
      <c r="C209" s="6"/>
      <c r="D209" s="7"/>
      <c r="E209" s="6"/>
      <c r="F209" s="6"/>
      <c r="G209" s="7"/>
      <c r="H209" s="6"/>
      <c r="I209" s="7"/>
    </row>
    <row r="210" customFormat="false" ht="15" hidden="false" customHeight="false" outlineLevel="0" collapsed="false">
      <c r="A210" s="13"/>
      <c r="B210" s="12"/>
      <c r="C210" s="12"/>
      <c r="D210" s="13"/>
      <c r="E210" s="12"/>
      <c r="F210" s="12"/>
      <c r="G210" s="13"/>
      <c r="H210" s="12"/>
      <c r="I210" s="13"/>
    </row>
    <row r="211" customFormat="false" ht="15" hidden="false" customHeight="false" outlineLevel="0" collapsed="false">
      <c r="A211" s="7"/>
      <c r="B211" s="6"/>
      <c r="C211" s="6"/>
      <c r="D211" s="7"/>
      <c r="E211" s="6"/>
      <c r="F211" s="6"/>
      <c r="G211" s="7"/>
      <c r="H211" s="6"/>
      <c r="I211" s="7"/>
    </row>
    <row r="212" customFormat="false" ht="15" hidden="false" customHeight="false" outlineLevel="0" collapsed="false">
      <c r="A212" s="13"/>
      <c r="B212" s="12"/>
      <c r="C212" s="12"/>
      <c r="D212" s="13"/>
      <c r="E212" s="12"/>
      <c r="F212" s="12"/>
      <c r="G212" s="13"/>
      <c r="H212" s="12"/>
      <c r="I212" s="13"/>
    </row>
  </sheetData>
  <mergeCells count="2">
    <mergeCell ref="A1:E1"/>
    <mergeCell ref="F1:I1"/>
  </mergeCells>
  <conditionalFormatting sqref="G3:G212">
    <cfRule type="cellIs" priority="2" operator="equal" aboveAverage="0" equalAverage="0" bottom="0" percent="0" rank="0" text="" dxfId="0">
      <formula>"Correct"</formula>
    </cfRule>
    <cfRule type="cellIs" priority="3" operator="equal" aboveAverage="0" equalAverage="0" bottom="0" percent="0" rank="0" text="" dxfId="1">
      <formula>"Underestimated"</formula>
    </cfRule>
    <cfRule type="cellIs" priority="4" operator="equal" aboveAverage="0" equalAverage="0" bottom="0" percent="0" rank="0" text="" dxfId="2">
      <formula>"Overestimated"</formula>
    </cfRule>
    <cfRule type="cellIs" priority="5" operator="equal" aboveAverage="0" equalAverage="0" bottom="0" percent="0" rank="0" text="" dxfId="3">
      <formula>"Wrong axis"</formula>
    </cfRule>
    <cfRule type="cellIs" priority="6" operator="equal" aboveAverage="0" equalAverage="0" bottom="0" percent="0" rank="0" text="" dxfId="4">
      <formula>"Surprising"</formula>
    </cfRule>
  </conditionalFormatting>
  <dataValidations count="4">
    <dataValidation allowBlank="true" errorStyle="stop" operator="between" showDropDown="false" showErrorMessage="false" showInputMessage="false" sqref="B3:B212" type="list">
      <formula1>"Daniel,Camila,Marco,Sarah,Elena"</formula1>
      <formula2>0</formula2>
    </dataValidation>
    <dataValidation allowBlank="true" errorStyle="stop" operator="between" showDropDown="false" showErrorMessage="false" showInputMessage="false" sqref="D3:D212" type="list">
      <formula1>"High,Medium,Low"</formula1>
      <formula2>0</formula2>
    </dataValidation>
    <dataValidation allowBlank="true" errorStyle="stop" operator="between" showDropDown="false" showErrorMessage="false" showInputMessage="false" sqref="G3:G212" type="list">
      <formula1>"Correct,Underestimated,Overestimated,Wrong axis,Surprising"</formula1>
      <formula2>0</formula2>
    </dataValidation>
    <dataValidation allowBlank="true" errorStyle="stop" operator="between" showDropDown="false" showErrorMessage="false" showInputMessage="false" sqref="I3:I212" type="list">
      <formula1>"Open,Validated,Updated"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8"/>
    <col collapsed="false" customWidth="true" hidden="false" outlineLevel="0" max="5" min="4" style="0" width="13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17.35" hidden="false" customHeight="true" outlineLevel="0" collapsed="false">
      <c r="A1" s="18" t="s">
        <v>135</v>
      </c>
      <c r="B1" s="18"/>
      <c r="C1" s="18"/>
      <c r="D1" s="18"/>
      <c r="E1" s="18"/>
      <c r="F1" s="18"/>
      <c r="G1" s="18"/>
      <c r="H1" s="18"/>
      <c r="I1" s="18"/>
    </row>
    <row r="2" customFormat="false" ht="15" hidden="false" customHeight="true" outlineLevel="0" collapsed="false">
      <c r="A2" s="19" t="s">
        <v>136</v>
      </c>
      <c r="B2" s="19"/>
      <c r="C2" s="19"/>
      <c r="D2" s="19"/>
      <c r="E2" s="19"/>
      <c r="F2" s="19"/>
      <c r="G2" s="19"/>
      <c r="H2" s="19"/>
      <c r="I2" s="19"/>
    </row>
    <row r="4" customFormat="false" ht="30" hidden="false" customHeight="true" outlineLevel="0" collapsed="false">
      <c r="A4" s="3" t="s">
        <v>3</v>
      </c>
      <c r="B4" s="3" t="s">
        <v>137</v>
      </c>
      <c r="C4" s="3" t="s">
        <v>17</v>
      </c>
      <c r="D4" s="3" t="s">
        <v>34</v>
      </c>
      <c r="E4" s="3" t="s">
        <v>116</v>
      </c>
      <c r="F4" s="3" t="s">
        <v>23</v>
      </c>
      <c r="G4" s="3" t="s">
        <v>125</v>
      </c>
      <c r="H4" s="3" t="s">
        <v>138</v>
      </c>
      <c r="I4" s="3" t="s">
        <v>139</v>
      </c>
    </row>
    <row r="5" customFormat="false" ht="15" hidden="false" customHeight="false" outlineLevel="0" collapsed="false">
      <c r="A5" s="5" t="s">
        <v>12</v>
      </c>
      <c r="B5" s="7" t="n">
        <f aca="false">COUNTIF('Prediction Ledger'!$B$3:$B$212,$A5)</f>
        <v>4</v>
      </c>
      <c r="C5" s="7" t="n">
        <f aca="false">COUNTIFS('Prediction Ledger'!$B$3:$B$212,$A5,'Prediction Ledger'!$G$3:$G$212,"Correct")</f>
        <v>2</v>
      </c>
      <c r="D5" s="7" t="n">
        <f aca="false">COUNTIFS('Prediction Ledger'!$B$3:$B$212,$A5,'Prediction Ledger'!$G$3:$G$212,"Overestimated")</f>
        <v>1</v>
      </c>
      <c r="E5" s="7" t="n">
        <f aca="false">COUNTIFS('Prediction Ledger'!$B$3:$B$212,$A5,'Prediction Ledger'!$G$3:$G$212,"Underestimated")</f>
        <v>0</v>
      </c>
      <c r="F5" s="7" t="n">
        <f aca="false">COUNTIFS('Prediction Ledger'!$B$3:$B$212,$A5,'Prediction Ledger'!$G$3:$G$212,"Wrong axis")</f>
        <v>1</v>
      </c>
      <c r="G5" s="7" t="n">
        <f aca="false">COUNTIFS('Prediction Ledger'!$B$3:$B$212,$A5,'Prediction Ledger'!$G$3:$G$212,"Surprising")</f>
        <v>0</v>
      </c>
      <c r="H5" s="20" t="n">
        <f aca="false">IFERROR(C5/(C5+D5+E5+F5),"—")</f>
        <v>0.5</v>
      </c>
      <c r="I5" s="6" t="str">
        <f aca="false">IF(SUM(D5:G5)=0,"—",INDEX($D$4:$G$4,MATCH(MAX(D5:G5),D5:G5,0)))</f>
        <v>Overestimated</v>
      </c>
    </row>
    <row r="6" customFormat="false" ht="15" hidden="false" customHeight="false" outlineLevel="0" collapsed="false">
      <c r="A6" s="11" t="s">
        <v>37</v>
      </c>
      <c r="B6" s="13" t="n">
        <f aca="false">COUNTIF('Prediction Ledger'!$B$3:$B$212,$A6)</f>
        <v>6</v>
      </c>
      <c r="C6" s="13" t="n">
        <f aca="false">COUNTIFS('Prediction Ledger'!$B$3:$B$212,$A6,'Prediction Ledger'!$G$3:$G$212,"Correct")</f>
        <v>3</v>
      </c>
      <c r="D6" s="13" t="n">
        <f aca="false">COUNTIFS('Prediction Ledger'!$B$3:$B$212,$A6,'Prediction Ledger'!$G$3:$G$212,"Overestimated")</f>
        <v>2</v>
      </c>
      <c r="E6" s="13" t="n">
        <f aca="false">COUNTIFS('Prediction Ledger'!$B$3:$B$212,$A6,'Prediction Ledger'!$G$3:$G$212,"Underestimated")</f>
        <v>0</v>
      </c>
      <c r="F6" s="13" t="n">
        <f aca="false">COUNTIFS('Prediction Ledger'!$B$3:$B$212,$A6,'Prediction Ledger'!$G$3:$G$212,"Wrong axis")</f>
        <v>0</v>
      </c>
      <c r="G6" s="13" t="n">
        <f aca="false">COUNTIFS('Prediction Ledger'!$B$3:$B$212,$A6,'Prediction Ledger'!$G$3:$G$212,"Surprising")</f>
        <v>1</v>
      </c>
      <c r="H6" s="21" t="n">
        <f aca="false">IFERROR(C6/(C6+D6+E6+F6),"—")</f>
        <v>0.6</v>
      </c>
      <c r="I6" s="12" t="str">
        <f aca="false">IF(SUM(D6:G6)=0,"—",INDEX($D$4:$G$4,MATCH(MAX(D6:G6),D6:G6,0)))</f>
        <v>Overestimated</v>
      </c>
    </row>
    <row r="7" customFormat="false" ht="15" hidden="false" customHeight="false" outlineLevel="0" collapsed="false">
      <c r="A7" s="5" t="s">
        <v>58</v>
      </c>
      <c r="B7" s="7" t="n">
        <f aca="false">COUNTIF('Prediction Ledger'!$B$3:$B$212,$A7)</f>
        <v>6</v>
      </c>
      <c r="C7" s="7" t="n">
        <f aca="false">COUNTIFS('Prediction Ledger'!$B$3:$B$212,$A7,'Prediction Ledger'!$G$3:$G$212,"Correct")</f>
        <v>2</v>
      </c>
      <c r="D7" s="7" t="n">
        <f aca="false">COUNTIFS('Prediction Ledger'!$B$3:$B$212,$A7,'Prediction Ledger'!$G$3:$G$212,"Overestimated")</f>
        <v>3</v>
      </c>
      <c r="E7" s="7" t="n">
        <f aca="false">COUNTIFS('Prediction Ledger'!$B$3:$B$212,$A7,'Prediction Ledger'!$G$3:$G$212,"Underestimated")</f>
        <v>0</v>
      </c>
      <c r="F7" s="7" t="n">
        <f aca="false">COUNTIFS('Prediction Ledger'!$B$3:$B$212,$A7,'Prediction Ledger'!$G$3:$G$212,"Wrong axis")</f>
        <v>0</v>
      </c>
      <c r="G7" s="7" t="n">
        <f aca="false">COUNTIFS('Prediction Ledger'!$B$3:$B$212,$A7,'Prediction Ledger'!$G$3:$G$212,"Surprising")</f>
        <v>1</v>
      </c>
      <c r="H7" s="20" t="n">
        <f aca="false">IFERROR(C7/(C7+D7+E7+F7),"—")</f>
        <v>0.4</v>
      </c>
      <c r="I7" s="6" t="str">
        <f aca="false">IF(SUM(D7:G7)=0,"—",INDEX($D$4:$G$4,MATCH(MAX(D7:G7),D7:G7,0)))</f>
        <v>Overestimated</v>
      </c>
    </row>
    <row r="8" customFormat="false" ht="15" hidden="false" customHeight="false" outlineLevel="0" collapsed="false">
      <c r="A8" s="11" t="s">
        <v>80</v>
      </c>
      <c r="B8" s="13" t="n">
        <f aca="false">COUNTIF('Prediction Ledger'!$B$3:$B$212,$A8)</f>
        <v>6</v>
      </c>
      <c r="C8" s="13" t="n">
        <f aca="false">COUNTIFS('Prediction Ledger'!$B$3:$B$212,$A8,'Prediction Ledger'!$G$3:$G$212,"Correct")</f>
        <v>3</v>
      </c>
      <c r="D8" s="13" t="n">
        <f aca="false">COUNTIFS('Prediction Ledger'!$B$3:$B$212,$A8,'Prediction Ledger'!$G$3:$G$212,"Overestimated")</f>
        <v>1</v>
      </c>
      <c r="E8" s="13" t="n">
        <f aca="false">COUNTIFS('Prediction Ledger'!$B$3:$B$212,$A8,'Prediction Ledger'!$G$3:$G$212,"Underestimated")</f>
        <v>0</v>
      </c>
      <c r="F8" s="13" t="n">
        <f aca="false">COUNTIFS('Prediction Ledger'!$B$3:$B$212,$A8,'Prediction Ledger'!$G$3:$G$212,"Wrong axis")</f>
        <v>1</v>
      </c>
      <c r="G8" s="13" t="n">
        <f aca="false">COUNTIFS('Prediction Ledger'!$B$3:$B$212,$A8,'Prediction Ledger'!$G$3:$G$212,"Surprising")</f>
        <v>1</v>
      </c>
      <c r="H8" s="21" t="n">
        <f aca="false">IFERROR(C8/(C8+D8+E8+F8),"—")</f>
        <v>0.6</v>
      </c>
      <c r="I8" s="12" t="str">
        <f aca="false">IF(SUM(D8:G8)=0,"—",INDEX($D$4:$G$4,MATCH(MAX(D8:G8),D8:G8,0)))</f>
        <v>Overestimated</v>
      </c>
    </row>
    <row r="9" customFormat="false" ht="15" hidden="false" customHeight="false" outlineLevel="0" collapsed="false">
      <c r="A9" s="5" t="s">
        <v>101</v>
      </c>
      <c r="B9" s="7" t="n">
        <f aca="false">COUNTIF('Prediction Ledger'!$B$3:$B$212,$A9)</f>
        <v>5</v>
      </c>
      <c r="C9" s="7" t="n">
        <f aca="false">COUNTIFS('Prediction Ledger'!$B$3:$B$212,$A9,'Prediction Ledger'!$G$3:$G$212,"Correct")</f>
        <v>3</v>
      </c>
      <c r="D9" s="7" t="n">
        <f aca="false">COUNTIFS('Prediction Ledger'!$B$3:$B$212,$A9,'Prediction Ledger'!$G$3:$G$212,"Overestimated")</f>
        <v>1</v>
      </c>
      <c r="E9" s="7" t="n">
        <f aca="false">COUNTIFS('Prediction Ledger'!$B$3:$B$212,$A9,'Prediction Ledger'!$G$3:$G$212,"Underestimated")</f>
        <v>1</v>
      </c>
      <c r="F9" s="7" t="n">
        <f aca="false">COUNTIFS('Prediction Ledger'!$B$3:$B$212,$A9,'Prediction Ledger'!$G$3:$G$212,"Wrong axis")</f>
        <v>0</v>
      </c>
      <c r="G9" s="7" t="n">
        <f aca="false">COUNTIFS('Prediction Ledger'!$B$3:$B$212,$A9,'Prediction Ledger'!$G$3:$G$212,"Surprising")</f>
        <v>0</v>
      </c>
      <c r="H9" s="20" t="n">
        <f aca="false">IFERROR(C9/(C9+D9+E9+F9),"—")</f>
        <v>0.6</v>
      </c>
      <c r="I9" s="6" t="str">
        <f aca="false">IF(SUM(D9:G9)=0,"—",INDEX($D$4:$G$4,MATCH(MAX(D9:G9),D9:G9,0)))</f>
        <v>Overestimated</v>
      </c>
    </row>
    <row r="10" customFormat="false" ht="15" hidden="false" customHeight="false" outlineLevel="0" collapsed="false">
      <c r="A10" s="22" t="s">
        <v>140</v>
      </c>
      <c r="B10" s="23" t="n">
        <f aca="false">SUM(B5:B9)</f>
        <v>27</v>
      </c>
      <c r="C10" s="23" t="n">
        <f aca="false">SUM(C5:C9)</f>
        <v>13</v>
      </c>
      <c r="D10" s="23" t="n">
        <f aca="false">SUM(D5:D9)</f>
        <v>8</v>
      </c>
      <c r="E10" s="23" t="n">
        <f aca="false">SUM(E5:E9)</f>
        <v>1</v>
      </c>
      <c r="F10" s="23" t="n">
        <f aca="false">SUM(F5:F9)</f>
        <v>2</v>
      </c>
      <c r="G10" s="23" t="n">
        <f aca="false">SUM(G5:G9)</f>
        <v>3</v>
      </c>
      <c r="H10" s="24" t="n">
        <f aca="false">IFERROR(C10/(C10+D10+E10+F10),"—")</f>
        <v>0.541666666666667</v>
      </c>
      <c r="I10" s="25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7A6B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42"/>
  </cols>
  <sheetData>
    <row r="1" customFormat="false" ht="17.35" hidden="false" customHeight="true" outlineLevel="0" collapsed="false">
      <c r="A1" s="18" t="s">
        <v>141</v>
      </c>
      <c r="B1" s="18"/>
      <c r="C1" s="18"/>
      <c r="D1" s="18"/>
      <c r="E1" s="18"/>
      <c r="F1" s="18"/>
      <c r="G1" s="18"/>
      <c r="H1" s="18"/>
    </row>
    <row r="2" customFormat="false" ht="15" hidden="false" customHeight="true" outlineLevel="0" collapsed="false">
      <c r="A2" s="19" t="s">
        <v>142</v>
      </c>
      <c r="B2" s="19"/>
      <c r="C2" s="19"/>
      <c r="D2" s="19"/>
      <c r="E2" s="19"/>
      <c r="F2" s="19"/>
      <c r="G2" s="19"/>
      <c r="H2" s="19"/>
    </row>
    <row r="4" customFormat="false" ht="30" hidden="false" customHeight="true" outlineLevel="0" collapsed="false">
      <c r="A4" s="3" t="s">
        <v>143</v>
      </c>
      <c r="B4" s="3" t="s">
        <v>144</v>
      </c>
      <c r="C4" s="3" t="s">
        <v>145</v>
      </c>
      <c r="D4" s="3" t="s">
        <v>17</v>
      </c>
      <c r="E4" s="3" t="s">
        <v>146</v>
      </c>
      <c r="F4" s="3" t="s">
        <v>138</v>
      </c>
      <c r="G4" s="3" t="s">
        <v>147</v>
      </c>
      <c r="H4" s="3" t="s">
        <v>148</v>
      </c>
    </row>
    <row r="5" customFormat="false" ht="23.85" hidden="false" customHeight="false" outlineLevel="0" collapsed="false">
      <c r="A5" s="26" t="s">
        <v>149</v>
      </c>
      <c r="B5" s="13" t="s">
        <v>150</v>
      </c>
      <c r="C5" s="13" t="n">
        <f aca="false">Scorecard!C10+Scorecard!D10+Scorecard!E10+Scorecard!F10</f>
        <v>24</v>
      </c>
      <c r="D5" s="13" t="n">
        <f aca="false">Scorecard!C10</f>
        <v>13</v>
      </c>
      <c r="E5" s="13" t="n">
        <f aca="false">Scorecard!G10</f>
        <v>3</v>
      </c>
      <c r="F5" s="21" t="n">
        <f aca="false">IFERROR(D5/C5,"—")</f>
        <v>0.541666666666667</v>
      </c>
      <c r="G5" s="12" t="s">
        <v>151</v>
      </c>
      <c r="H5" s="12" t="s">
        <v>152</v>
      </c>
    </row>
    <row r="6" customFormat="false" ht="23.85" hidden="false" customHeight="false" outlineLevel="0" collapsed="false">
      <c r="A6" s="26" t="s">
        <v>153</v>
      </c>
      <c r="B6" s="13" t="s">
        <v>154</v>
      </c>
      <c r="C6" s="13" t="n">
        <v>20</v>
      </c>
      <c r="D6" s="13" t="n">
        <v>15</v>
      </c>
      <c r="E6" s="13" t="n">
        <v>1</v>
      </c>
      <c r="F6" s="21" t="n">
        <f aca="false">IFERROR(D6/C6,"—")</f>
        <v>0.75</v>
      </c>
      <c r="G6" s="12" t="s">
        <v>155</v>
      </c>
      <c r="H6" s="12" t="s">
        <v>156</v>
      </c>
    </row>
    <row r="7" customFormat="false" ht="23.85" hidden="false" customHeight="false" outlineLevel="0" collapsed="false">
      <c r="A7" s="27" t="s">
        <v>157</v>
      </c>
      <c r="B7" s="7" t="s">
        <v>158</v>
      </c>
      <c r="C7" s="7" t="n">
        <v>18</v>
      </c>
      <c r="D7" s="7" t="n">
        <v>16</v>
      </c>
      <c r="E7" s="7" t="n">
        <v>0</v>
      </c>
      <c r="F7" s="20" t="n">
        <f aca="false">IFERROR(D7/C7,"—")</f>
        <v>0.888888888888889</v>
      </c>
      <c r="G7" s="6" t="s">
        <v>159</v>
      </c>
      <c r="H7" s="6" t="s">
        <v>160</v>
      </c>
    </row>
    <row r="8" customFormat="false" ht="15" hidden="false" customHeight="false" outlineLevel="0" collapsed="false">
      <c r="A8" s="12"/>
      <c r="B8" s="13"/>
      <c r="C8" s="13"/>
      <c r="D8" s="13"/>
      <c r="E8" s="13"/>
      <c r="F8" s="21" t="str">
        <f aca="false">IFERROR(D8/C8,"—")</f>
        <v>—</v>
      </c>
      <c r="G8" s="12"/>
      <c r="H8" s="12"/>
    </row>
    <row r="9" customFormat="false" ht="15" hidden="false" customHeight="false" outlineLevel="0" collapsed="false">
      <c r="A9" s="6"/>
      <c r="B9" s="7"/>
      <c r="C9" s="7"/>
      <c r="D9" s="7"/>
      <c r="E9" s="7"/>
      <c r="F9" s="20" t="str">
        <f aca="false">IFERROR(D9/C9,"—")</f>
        <v>—</v>
      </c>
      <c r="G9" s="6"/>
      <c r="H9" s="6"/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21" t="str">
        <f aca="false">IFERROR(D10/C10,"—")</f>
        <v>—</v>
      </c>
      <c r="G10" s="12"/>
      <c r="H10" s="12"/>
    </row>
    <row r="11" customFormat="false" ht="15" hidden="false" customHeight="false" outlineLevel="0" collapsed="false">
      <c r="A11" s="6"/>
      <c r="B11" s="7"/>
      <c r="C11" s="7"/>
      <c r="D11" s="7"/>
      <c r="E11" s="7"/>
      <c r="F11" s="20" t="str">
        <f aca="false">IFERROR(D11/C11,"—")</f>
        <v>—</v>
      </c>
      <c r="G11" s="6"/>
      <c r="H11" s="6"/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21" t="str">
        <f aca="false">IFERROR(D12/C12,"—")</f>
        <v>—</v>
      </c>
      <c r="G12" s="12"/>
      <c r="H12" s="12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2"/>
  </cols>
  <sheetData>
    <row r="1" customFormat="false" ht="18.55" hidden="false" customHeight="true" outlineLevel="0" collapsed="false">
      <c r="A1" s="28" t="s">
        <v>161</v>
      </c>
      <c r="B1" s="28"/>
    </row>
    <row r="2" customFormat="false" ht="30" hidden="false" customHeight="true" outlineLevel="0" collapsed="false">
      <c r="A2" s="29" t="s">
        <v>162</v>
      </c>
      <c r="B2" s="29"/>
    </row>
    <row r="4" customFormat="false" ht="19.5" hidden="false" customHeight="true" outlineLevel="0" collapsed="false">
      <c r="A4" s="30" t="s">
        <v>163</v>
      </c>
      <c r="B4" s="30"/>
    </row>
    <row r="5" customFormat="false" ht="27.75" hidden="false" customHeight="true" outlineLevel="0" collapsed="false">
      <c r="A5" s="31" t="s">
        <v>164</v>
      </c>
      <c r="B5" s="32" t="s">
        <v>165</v>
      </c>
    </row>
    <row r="6" customFormat="false" ht="27.75" hidden="false" customHeight="true" outlineLevel="0" collapsed="false">
      <c r="A6" s="31" t="s">
        <v>166</v>
      </c>
      <c r="B6" s="32" t="s">
        <v>167</v>
      </c>
    </row>
    <row r="7" customFormat="false" ht="27.75" hidden="false" customHeight="true" outlineLevel="0" collapsed="false">
      <c r="A7" s="31" t="s">
        <v>168</v>
      </c>
      <c r="B7" s="32" t="s">
        <v>169</v>
      </c>
    </row>
    <row r="8" customFormat="false" ht="27.75" hidden="false" customHeight="true" outlineLevel="0" collapsed="false"/>
    <row r="9" customFormat="false" ht="27.75" hidden="false" customHeight="true" outlineLevel="0" collapsed="false">
      <c r="A9" s="30" t="s">
        <v>170</v>
      </c>
      <c r="B9" s="30"/>
    </row>
    <row r="10" customFormat="false" ht="27.75" hidden="false" customHeight="true" outlineLevel="0" collapsed="false">
      <c r="A10" s="31" t="s">
        <v>17</v>
      </c>
      <c r="B10" s="32" t="s">
        <v>171</v>
      </c>
    </row>
    <row r="11" customFormat="false" ht="27.75" hidden="false" customHeight="true" outlineLevel="0" collapsed="false">
      <c r="A11" s="31" t="s">
        <v>116</v>
      </c>
      <c r="B11" s="32" t="s">
        <v>172</v>
      </c>
    </row>
    <row r="12" customFormat="false" ht="27.75" hidden="false" customHeight="true" outlineLevel="0" collapsed="false">
      <c r="A12" s="31" t="s">
        <v>34</v>
      </c>
      <c r="B12" s="32" t="s">
        <v>173</v>
      </c>
    </row>
    <row r="13" customFormat="false" ht="27.75" hidden="false" customHeight="true" outlineLevel="0" collapsed="false">
      <c r="A13" s="31" t="s">
        <v>23</v>
      </c>
      <c r="B13" s="32" t="s">
        <v>174</v>
      </c>
    </row>
    <row r="14" customFormat="false" ht="27.75" hidden="false" customHeight="true" outlineLevel="0" collapsed="false">
      <c r="A14" s="31" t="s">
        <v>125</v>
      </c>
      <c r="B14" s="32" t="s">
        <v>175</v>
      </c>
    </row>
    <row r="15" customFormat="false" ht="27.75" hidden="false" customHeight="true" outlineLevel="0" collapsed="false"/>
    <row r="16" customFormat="false" ht="27.75" hidden="false" customHeight="true" outlineLevel="0" collapsed="false">
      <c r="A16" s="30" t="s">
        <v>176</v>
      </c>
      <c r="B16" s="30"/>
    </row>
    <row r="17" customFormat="false" ht="27.75" hidden="false" customHeight="true" outlineLevel="0" collapsed="false">
      <c r="A17" s="31" t="s">
        <v>138</v>
      </c>
      <c r="B17" s="32" t="s">
        <v>177</v>
      </c>
    </row>
    <row r="18" customFormat="false" ht="27.75" hidden="false" customHeight="true" outlineLevel="0" collapsed="false">
      <c r="A18" s="31" t="s">
        <v>5</v>
      </c>
      <c r="B18" s="32" t="s">
        <v>178</v>
      </c>
    </row>
    <row r="19" customFormat="false" ht="27.75" hidden="false" customHeight="true" outlineLevel="0" collapsed="false"/>
    <row r="20" customFormat="false" ht="27.75" hidden="false" customHeight="true" outlineLevel="0" collapsed="false">
      <c r="A20" s="30" t="s">
        <v>179</v>
      </c>
      <c r="B20" s="30"/>
    </row>
    <row r="21" customFormat="false" ht="27.75" hidden="false" customHeight="true" outlineLevel="0" collapsed="false">
      <c r="A21" s="31" t="s">
        <v>180</v>
      </c>
      <c r="B21" s="33" t="s">
        <v>181</v>
      </c>
    </row>
  </sheetData>
  <mergeCells count="6">
    <mergeCell ref="A1:B1"/>
    <mergeCell ref="A2:B2"/>
    <mergeCell ref="A4:B4"/>
    <mergeCell ref="A9:B9"/>
    <mergeCell ref="A16:B16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2026-07-16T19:42:36Z</dcterms:created>
  <dc:creator>openpyxl</dc:creator>
  <dc:description/>
  <dc:language>en-US</dc:language>
  <cp:lastModifiedBy/>
  <dcterms:modified xsi:type="dcterms:W3CDTF">2026-07-16T19:42:38Z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